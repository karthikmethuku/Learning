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ODOO\Aakalpa Attendance\"/>
    </mc:Choice>
  </mc:AlternateContent>
  <bookViews>
    <workbookView xWindow="0" yWindow="0" windowWidth="20490" windowHeight="7755" activeTab="2"/>
  </bookViews>
  <sheets>
    <sheet name="ATTENDANCE" sheetId="1" r:id="rId1"/>
    <sheet name="STOCK" sheetId="2" r:id="rId2"/>
    <sheet name="PRODUCTS DAT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48576" i="2" l="1"/>
  <c r="AJ20" i="1" l="1"/>
  <c r="AI20" i="1"/>
  <c r="AH20" i="1"/>
  <c r="AJ4" i="1" l="1"/>
  <c r="AJ19" i="1"/>
  <c r="AI19" i="1"/>
  <c r="AH19" i="1"/>
  <c r="AH4" i="1" l="1"/>
  <c r="AJ18" i="1" l="1"/>
  <c r="AI18" i="1"/>
  <c r="AH18" i="1"/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I4" i="1"/>
</calcChain>
</file>

<file path=xl/sharedStrings.xml><?xml version="1.0" encoding="utf-8"?>
<sst xmlns="http://schemas.openxmlformats.org/spreadsheetml/2006/main" count="839" uniqueCount="322">
  <si>
    <t>S.No</t>
  </si>
  <si>
    <t>Name</t>
  </si>
  <si>
    <t>Role</t>
  </si>
  <si>
    <t>Date</t>
  </si>
  <si>
    <t>Naveen Babu</t>
  </si>
  <si>
    <t>Production Incharge</t>
  </si>
  <si>
    <t>Dinesh Kumar</t>
  </si>
  <si>
    <t>Production Assistant</t>
  </si>
  <si>
    <t>Srinivasan Kannayyan</t>
  </si>
  <si>
    <t>Yuona Naidu</t>
  </si>
  <si>
    <t>Printing Assistant</t>
  </si>
  <si>
    <t>Alekya</t>
  </si>
  <si>
    <t>Ashok Yadav</t>
  </si>
  <si>
    <t>Slitting Operator</t>
  </si>
  <si>
    <t>Rajesh</t>
  </si>
  <si>
    <t>A.Venkataswamy</t>
  </si>
  <si>
    <t>Mahesh</t>
  </si>
  <si>
    <t>Pouching Operator</t>
  </si>
  <si>
    <t>P.Shanmukha</t>
  </si>
  <si>
    <t>Jaswant Kumar</t>
  </si>
  <si>
    <t>Mariyamma</t>
  </si>
  <si>
    <t>P</t>
  </si>
  <si>
    <t>Holiday</t>
  </si>
  <si>
    <t>Devarajan Adhinarayan</t>
  </si>
  <si>
    <t>Aakalpa Packaging Industry- Employee Attendance Sheet (November 2025)</t>
  </si>
  <si>
    <t>Venkat Rao</t>
  </si>
  <si>
    <t>Total Present</t>
  </si>
  <si>
    <t>Total Absent</t>
  </si>
  <si>
    <t>Attendance %</t>
  </si>
  <si>
    <t>Chandan Das</t>
  </si>
  <si>
    <t>Roto-Printing Operator</t>
  </si>
  <si>
    <t>A</t>
  </si>
  <si>
    <t>Anil Pelluri</t>
  </si>
  <si>
    <t>hyd</t>
  </si>
  <si>
    <t>Vijay Shankar</t>
  </si>
  <si>
    <t>Adhesive-NCO</t>
  </si>
  <si>
    <t>Item</t>
  </si>
  <si>
    <t>Adhesive</t>
  </si>
  <si>
    <t>Adhesive-OH</t>
  </si>
  <si>
    <t>LocTite CAC 1500A 5KG</t>
  </si>
  <si>
    <t>LocTite CAC 2511 25 KG</t>
  </si>
  <si>
    <t>Ethyl Acetate</t>
  </si>
  <si>
    <t>Chemical</t>
  </si>
  <si>
    <t>Toluene</t>
  </si>
  <si>
    <t>MIBK</t>
  </si>
  <si>
    <t>INK-PET-GRVR-MDM</t>
  </si>
  <si>
    <t>Inks-PET</t>
  </si>
  <si>
    <t>INK-PET-GRVR-BLK</t>
  </si>
  <si>
    <t>INK-PET-GRVR-CYN</t>
  </si>
  <si>
    <t>INK-PET-GRVR-GRN</t>
  </si>
  <si>
    <t>INK-PET-GRVR-MGNT</t>
  </si>
  <si>
    <t>INK-PET-GRVR-ORG</t>
  </si>
  <si>
    <t>INK-PET-GRVR-RED</t>
  </si>
  <si>
    <t>INK-PET-GRVR-SBLU</t>
  </si>
  <si>
    <t>INK-PET-GRVR-SCYN</t>
  </si>
  <si>
    <t>INK-PET-GRVR-SLCYN</t>
  </si>
  <si>
    <t>INK-PET-GRVR-SMGNT</t>
  </si>
  <si>
    <t>INK-PET-GRVR-SPL-BLU</t>
  </si>
  <si>
    <t>INK-PET-GRVR-SPL-GRN -P355</t>
  </si>
  <si>
    <t>INK-PET-GRVR-SPL-LBRWN</t>
  </si>
  <si>
    <t>INK-PET-GRVR-SPL-LGRN</t>
  </si>
  <si>
    <t>INK-PET-GRVR-SPL-YLW</t>
  </si>
  <si>
    <t>INK-PET-GRVR-SPNK</t>
  </si>
  <si>
    <t>INK-PET-GRVR-WHT</t>
  </si>
  <si>
    <t>INK-PET-GRVR-YLW</t>
  </si>
  <si>
    <t>INK-PET-GRVR-VLT</t>
  </si>
  <si>
    <t>INK-PET-GRVR-PRPL</t>
  </si>
  <si>
    <t>INK-PET-GRVR-GLD</t>
  </si>
  <si>
    <t>INK-BoPP-GRVR-MDM</t>
  </si>
  <si>
    <t>Inks-BoPP</t>
  </si>
  <si>
    <t>INK-BoPP-GRVR-BLK</t>
  </si>
  <si>
    <t>INK-BoPP-GRVR-CYN</t>
  </si>
  <si>
    <t>INK-BoPP-GRVR-GRN</t>
  </si>
  <si>
    <t>INK-BoPP-GRVR-MGNT</t>
  </si>
  <si>
    <t>INK-BoPP-GRVR-ORG</t>
  </si>
  <si>
    <t>INK-BoPP-GRVR-RED</t>
  </si>
  <si>
    <t>INK-BoPP-GRVR-SBLU</t>
  </si>
  <si>
    <t>INK-BoPP-GRVR-SCYN</t>
  </si>
  <si>
    <t>INK-BoPP-GRVR-SLCYN</t>
  </si>
  <si>
    <t>INK-BoPP-GRVR-SMGNT</t>
  </si>
  <si>
    <t>INK-BoPP-GRVR-SPL-BLU</t>
  </si>
  <si>
    <t>INK-BoPP-GRVR-SPL-GRN</t>
  </si>
  <si>
    <t>INK-BoPP-GRVR-SPL-BRWN</t>
  </si>
  <si>
    <t>INK-BoPP-GRVR-SPL-LBRWN</t>
  </si>
  <si>
    <t>INK-BoPP-GRVR-SPL-LGRN</t>
  </si>
  <si>
    <t>INK-BoPP-GRVR-SPL-YLW</t>
  </si>
  <si>
    <t>INK-BoPP-GRVR-SPNK</t>
  </si>
  <si>
    <t>INK-BoPP-GRVR-WHT</t>
  </si>
  <si>
    <t>INK-BoPP-GRVR-PSTGLD</t>
  </si>
  <si>
    <t>INK-BoPP-GRVR-LQGLD</t>
  </si>
  <si>
    <t>INK-BoPP-GRVR-GYLW</t>
  </si>
  <si>
    <t>INK-BoPP-GRVR-YLW</t>
  </si>
  <si>
    <t>INK-BoPP-GRVR-VLT</t>
  </si>
  <si>
    <t>INK-BoPP-GRVR-PRPL</t>
  </si>
  <si>
    <t>INK-BoPP-GRVR-ADDTV</t>
  </si>
  <si>
    <t>Flexo Inks</t>
  </si>
  <si>
    <t>Inks-Flexo</t>
  </si>
  <si>
    <t>Meganta</t>
  </si>
  <si>
    <t>LDPE</t>
  </si>
  <si>
    <t>LDPE-NTRL-120-1015MM</t>
  </si>
  <si>
    <t>LDPE-NTRL-120-865MM</t>
  </si>
  <si>
    <t>LDPE-NTRL-120-860MM</t>
  </si>
  <si>
    <t>LDPE-NTRL-100-695MM</t>
  </si>
  <si>
    <t>LDPE-NTRL-110-695MM</t>
  </si>
  <si>
    <t>LDPE-NTRL-100-680MM</t>
  </si>
  <si>
    <t>LDPE-NTRL-100-655MM</t>
  </si>
  <si>
    <t>LDPE-NTRL-100-580MM</t>
  </si>
  <si>
    <t>LDPE-NTRL-100-540MM</t>
  </si>
  <si>
    <t>LDPE-NTRL-80-540MM</t>
  </si>
  <si>
    <t>LDPE-NTRL-40-540MM</t>
  </si>
  <si>
    <t>LDPE-NTRL-35-540MM</t>
  </si>
  <si>
    <t>LDPE-NTRL-50-440MM</t>
  </si>
  <si>
    <t>LDPE-NTRL-60-415MM</t>
  </si>
  <si>
    <t>LDPE-NTRL-50-400MM</t>
  </si>
  <si>
    <t>LDPE-NTRL-60-365MM</t>
  </si>
  <si>
    <t>LDPE-OPQW-60-915MM</t>
  </si>
  <si>
    <t>LDPE-OPQW-100-900MM</t>
  </si>
  <si>
    <t>LDPE-OPQW-100-895MM</t>
  </si>
  <si>
    <t>LDPE-OPQW-110-780MM</t>
  </si>
  <si>
    <t>LDPE-OPQW-100-780MM</t>
  </si>
  <si>
    <t>LDPE-OPQW-100-775MM</t>
  </si>
  <si>
    <t>LDPE-OPQW-120-745MM</t>
  </si>
  <si>
    <t>LDPE-OPQW-100-460MM</t>
  </si>
  <si>
    <t>LDPE-OPQW-100-480MM</t>
  </si>
  <si>
    <t>LDPE-TR-60-915MM</t>
  </si>
  <si>
    <t>METPET-STD-12-950MM</t>
  </si>
  <si>
    <t>MeT-PET</t>
  </si>
  <si>
    <t>METPET-STD-12-910MM</t>
  </si>
  <si>
    <t>METPET-STD-12-860MM</t>
  </si>
  <si>
    <t>METPET-STD-12-700MM</t>
  </si>
  <si>
    <t>METPET-STD-12-690MM</t>
  </si>
  <si>
    <t>METPET-STD-12-650MM</t>
  </si>
  <si>
    <t>METPET-STD-12-575MM</t>
  </si>
  <si>
    <t>METPET-STD-12-535MM</t>
  </si>
  <si>
    <t>PET-STD-12-1010MM</t>
  </si>
  <si>
    <t>PET</t>
  </si>
  <si>
    <t>PET-STD-12-930MM</t>
  </si>
  <si>
    <t>PET-STD-12-910MM</t>
  </si>
  <si>
    <t>PET-STD-12-890MM</t>
  </si>
  <si>
    <t>PET-CRNA-12-890MM</t>
  </si>
  <si>
    <t>PET-STD-12-870MM</t>
  </si>
  <si>
    <t>PET-STD-12-860MM</t>
  </si>
  <si>
    <t>PET-STD-12-850MM</t>
  </si>
  <si>
    <t>PET-STD-12-770MM</t>
  </si>
  <si>
    <t>PET-STD-12-680MM</t>
  </si>
  <si>
    <t>PET-STD-12-690MM</t>
  </si>
  <si>
    <t>PET-STD-12-650MM</t>
  </si>
  <si>
    <t>PET-STD-12-535MM</t>
  </si>
  <si>
    <t>PP-STD-15-20-WN-FBRC</t>
  </si>
  <si>
    <t>Woven Fabric</t>
  </si>
  <si>
    <t>Bopp - Matt-15-910MM</t>
  </si>
  <si>
    <t>BoPP</t>
  </si>
  <si>
    <t>BoPP-MAT-15-1000MM</t>
  </si>
  <si>
    <t>BoPP-MAT-15-1040MM</t>
  </si>
  <si>
    <t>BoPP-MAT-15-1050MM</t>
  </si>
  <si>
    <t>BoPP-MAT-15-690MM</t>
  </si>
  <si>
    <t>BoPP-MAT-15-700MM</t>
  </si>
  <si>
    <t>BoPP-MAT-15-800MM</t>
  </si>
  <si>
    <t>BoPP-MAT-15-860MM</t>
  </si>
  <si>
    <t>BoPP-MAT-15-875MM</t>
  </si>
  <si>
    <t>BoPP-MAT-15-890MM</t>
  </si>
  <si>
    <t>BoPP-MAT-15-950MM</t>
  </si>
  <si>
    <t>Bopp-MAT-15-810mm</t>
  </si>
  <si>
    <t>item</t>
  </si>
  <si>
    <t>BoPP-TR-15-1000MM</t>
  </si>
  <si>
    <t>BoPP-TR-15-1040MM</t>
  </si>
  <si>
    <t>BoPP-TR-15-1050MM</t>
  </si>
  <si>
    <t>BOPP-MAT-15-1140</t>
  </si>
  <si>
    <t>BOPP-MAT-935MM</t>
  </si>
  <si>
    <t>BoPP-TR-15-785MM</t>
  </si>
  <si>
    <t>BoPP-TR-15-800MM</t>
  </si>
  <si>
    <t>BoPP-MET-15-810MM</t>
  </si>
  <si>
    <t>MeT-BoPP</t>
  </si>
  <si>
    <t>BoPP-MET-15-800MM</t>
  </si>
  <si>
    <t>BoPP-MET-15-730MM</t>
  </si>
  <si>
    <t>Semi Finished Goods-Pouches</t>
  </si>
  <si>
    <t>Pouches</t>
  </si>
  <si>
    <t>Semi Finished Goods-METRT10Kg</t>
  </si>
  <si>
    <t>METRooT</t>
  </si>
  <si>
    <t>Semi Finished Goods-METRT50kg</t>
  </si>
  <si>
    <t>Semi Finished Goods-SLPHMX10kg</t>
  </si>
  <si>
    <t>SLPHMX</t>
  </si>
  <si>
    <t>Semi Finished Goods-SLPHMX50kg</t>
  </si>
  <si>
    <t>Woven Fabric - 24in</t>
  </si>
  <si>
    <t>Woven Fabric - 15in</t>
  </si>
  <si>
    <t>Butnol</t>
  </si>
  <si>
    <t>Carton Boxes</t>
  </si>
  <si>
    <t>Carton Box</t>
  </si>
  <si>
    <t>BoPP-TR-15-510MM</t>
  </si>
  <si>
    <t>BoPP-MAT-15-1055</t>
  </si>
  <si>
    <t>bopp-matt-15-1135</t>
  </si>
  <si>
    <t>BoPP-TR-15-1055</t>
  </si>
  <si>
    <t>Bopp-TR-15-640MM</t>
  </si>
  <si>
    <t>BoPP-TR-15-900MM</t>
  </si>
  <si>
    <t>BoPP-TR-15-720MM</t>
  </si>
  <si>
    <t>BoPP-TR-15-860MM</t>
  </si>
  <si>
    <t>BOPP-TR-15-1060</t>
  </si>
  <si>
    <t>Stock Name</t>
  </si>
  <si>
    <t>Stock 
Type</t>
  </si>
  <si>
    <t>Material 
Type</t>
  </si>
  <si>
    <t>Nov 10 25 Stock</t>
  </si>
  <si>
    <t>49kgs</t>
  </si>
  <si>
    <t>50kgs</t>
  </si>
  <si>
    <t>12400kgs</t>
  </si>
  <si>
    <t>1295kgs</t>
  </si>
  <si>
    <t>133kgs</t>
  </si>
  <si>
    <t>200kgs</t>
  </si>
  <si>
    <t>280kgs</t>
  </si>
  <si>
    <t>340kgs</t>
  </si>
  <si>
    <t>860kgs</t>
  </si>
  <si>
    <t>40kgs</t>
  </si>
  <si>
    <t>1000kgs</t>
  </si>
  <si>
    <t>500kgs</t>
  </si>
  <si>
    <t>160kgs</t>
  </si>
  <si>
    <t>420kgs</t>
  </si>
  <si>
    <t>600kgs</t>
  </si>
  <si>
    <t>180kgs</t>
  </si>
  <si>
    <t>1408kgs</t>
  </si>
  <si>
    <t>1060kgs</t>
  </si>
  <si>
    <t>140kgs</t>
  </si>
  <si>
    <t>20kgs</t>
  </si>
  <si>
    <t>447kgs</t>
  </si>
  <si>
    <t>LDPE-NTRL-100-515MM</t>
  </si>
  <si>
    <t>130kgs</t>
  </si>
  <si>
    <t>LDPE-NTRL-100-1030MM</t>
  </si>
  <si>
    <t>215kgs</t>
  </si>
  <si>
    <t>LDPE-NTRL-100-855MM</t>
  </si>
  <si>
    <t>100kgs</t>
  </si>
  <si>
    <t>74.5kgs</t>
  </si>
  <si>
    <t>299.6kgs</t>
  </si>
  <si>
    <t>822.97kgs</t>
  </si>
  <si>
    <t>275.90kgs</t>
  </si>
  <si>
    <t>490.85kgs</t>
  </si>
  <si>
    <t>BOPP-TR-15-835MM</t>
  </si>
  <si>
    <t>682.75kgs</t>
  </si>
  <si>
    <t>140.40kgs</t>
  </si>
  <si>
    <t>344.95kgs</t>
  </si>
  <si>
    <t>357.7kgs</t>
  </si>
  <si>
    <t>443.8kgs</t>
  </si>
  <si>
    <t>304.73kgs</t>
  </si>
  <si>
    <t>274.20kgs</t>
  </si>
  <si>
    <t>57.8kgs</t>
  </si>
  <si>
    <t>468kgs</t>
  </si>
  <si>
    <t>S.NO</t>
  </si>
  <si>
    <t>PRODUCT NAME</t>
  </si>
  <si>
    <t>QUANTITY</t>
  </si>
  <si>
    <t>Subhamasthu</t>
  </si>
  <si>
    <t>405*1220</t>
  </si>
  <si>
    <t>Gromor Soilbor</t>
  </si>
  <si>
    <t>550*860</t>
  </si>
  <si>
    <t>Chennai Shopping Mall</t>
  </si>
  <si>
    <t>510*1140</t>
  </si>
  <si>
    <t>Nagarjuna Klassic</t>
  </si>
  <si>
    <t>Chamatkar</t>
  </si>
  <si>
    <t>450*780</t>
  </si>
  <si>
    <t>Insta (N:P:K) 13:0:45</t>
  </si>
  <si>
    <t>530*890</t>
  </si>
  <si>
    <t>Sponta</t>
  </si>
  <si>
    <t>Zetol</t>
  </si>
  <si>
    <t>Superia</t>
  </si>
  <si>
    <t>SJS Shopping mall</t>
  </si>
  <si>
    <t>533.4*1110</t>
  </si>
  <si>
    <t>Kalyan Jewellery</t>
  </si>
  <si>
    <t>305*650</t>
  </si>
  <si>
    <t>Chandra Shopping Mall</t>
  </si>
  <si>
    <t>Vermicelli (Vandana)</t>
  </si>
  <si>
    <t>530*840</t>
  </si>
  <si>
    <t>Soma Silver Jewellery</t>
  </si>
  <si>
    <t>700*800</t>
  </si>
  <si>
    <t>Nanozyme</t>
  </si>
  <si>
    <t>530*900</t>
  </si>
  <si>
    <t>Bicota</t>
  </si>
  <si>
    <t>495*1075</t>
  </si>
  <si>
    <t>Aarohi</t>
  </si>
  <si>
    <t>420*1000</t>
  </si>
  <si>
    <t>Benofit</t>
  </si>
  <si>
    <t>500*600</t>
  </si>
  <si>
    <t>Novizin</t>
  </si>
  <si>
    <t>510*600</t>
  </si>
  <si>
    <t>Sulphamax</t>
  </si>
  <si>
    <t>510*1000</t>
  </si>
  <si>
    <t>Aakruthi</t>
  </si>
  <si>
    <t>406*1130</t>
  </si>
  <si>
    <t>559*1140</t>
  </si>
  <si>
    <t>520*790</t>
  </si>
  <si>
    <t>610*750</t>
  </si>
  <si>
    <t>Nutribor</t>
  </si>
  <si>
    <t>450*800</t>
  </si>
  <si>
    <t>Gromor Spray (0:52:34)</t>
  </si>
  <si>
    <t>540*860</t>
  </si>
  <si>
    <t>Gromor Spray (13:0:45)</t>
  </si>
  <si>
    <t>710*1090</t>
  </si>
  <si>
    <t>Vermicelli (Royal feast)</t>
  </si>
  <si>
    <t>Gromor Nutri Spray  (0:0:50)</t>
  </si>
  <si>
    <t>970*710</t>
  </si>
  <si>
    <t>Kalyan Silk</t>
  </si>
  <si>
    <t>400*930</t>
  </si>
  <si>
    <t>South India Shopping Mall</t>
  </si>
  <si>
    <t>535*1040</t>
  </si>
  <si>
    <t>380*1120</t>
  </si>
  <si>
    <t>305*1040</t>
  </si>
  <si>
    <t>MBR Shopping Mall</t>
  </si>
  <si>
    <t>355*1040</t>
  </si>
  <si>
    <t>405*1140</t>
  </si>
  <si>
    <t>INVICTO</t>
  </si>
  <si>
    <t>CMR SHOPPING</t>
  </si>
  <si>
    <t>Veg Biryani</t>
  </si>
  <si>
    <t>420*990</t>
  </si>
  <si>
    <t>Gromor Nutri Spray  (n,15:5&amp;ca 18:5)</t>
  </si>
  <si>
    <t>VAARAHI SILKS</t>
  </si>
  <si>
    <t>610*1015</t>
  </si>
  <si>
    <t>PRODUCTS DATA</t>
  </si>
  <si>
    <t>Sulphamax (bags)</t>
  </si>
  <si>
    <t>Meta Root 10kg</t>
  </si>
  <si>
    <t>830*</t>
  </si>
  <si>
    <t>Meta Root 25kg</t>
  </si>
  <si>
    <t>1000*</t>
  </si>
  <si>
    <t>Meta Root 50kg</t>
  </si>
  <si>
    <t>640*</t>
  </si>
  <si>
    <t>Soil Bar 1kg</t>
  </si>
  <si>
    <t>770*</t>
  </si>
  <si>
    <t>Cylinder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</si>
</sst>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5" fillId="2" borderId="1" xfId="1" applyNumberFormat="1" applyFont="1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8" fillId="2" borderId="1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164" fontId="5" fillId="0" borderId="0" xfId="1" applyNumberFormat="1" applyFont="1" applyBorder="1"/>
    <xf numFmtId="0" fontId="8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8" fillId="0" borderId="6" xfId="0" applyFont="1" applyFill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164" fontId="5" fillId="2" borderId="5" xfId="1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" fontId="0" fillId="0" borderId="1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5" xfId="0" applyBorder="1"/>
    <xf numFmtId="0" fontId="6" fillId="0" borderId="5" xfId="0" applyFont="1" applyBorder="1"/>
    <xf numFmtId="1" fontId="0" fillId="0" borderId="5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0" fillId="0" borderId="3" xfId="0" applyFill="1" applyBorder="1"/>
    <xf numFmtId="1" fontId="0" fillId="0" borderId="3" xfId="0" applyNumberFormat="1" applyFill="1" applyBorder="1" applyAlignment="1">
      <alignment horizontal="center" vertical="center"/>
    </xf>
    <xf numFmtId="0" fontId="6" fillId="0" borderId="3" xfId="0" applyFont="1" applyFill="1" applyBorder="1"/>
  </cellXfs>
  <cellStyles count="2">
    <cellStyle name="Comma" xfId="1" builtinId="3"/>
    <cellStyle name="Normal" xfId="0" builtinId="0"/>
  </cellStyles>
  <dxfs count="8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399975585192419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52" totalsRowShown="0" headerRowDxfId="7" headerRowBorderDxfId="6" tableBorderDxfId="5" totalsRowBorderDxfId="4">
  <autoFilter ref="A1:D152"/>
  <sortState ref="A2:E38">
    <sortCondition ref="A1:A149"/>
  </sortState>
  <tableColumns count="4">
    <tableColumn id="1" name="Stock Name" dataDxfId="3"/>
    <tableColumn id="2" name="Stock _x000a_Type" dataDxfId="2"/>
    <tableColumn id="3" name="Material _x000a_Type" dataDxfId="1"/>
    <tableColumn id="4" name="Nov 10 25 Stock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H19" sqref="H19"/>
    </sheetView>
  </sheetViews>
  <sheetFormatPr defaultRowHeight="15" x14ac:dyDescent="0.25"/>
  <cols>
    <col min="2" max="2" width="27.5703125" customWidth="1"/>
    <col min="3" max="3" width="25.28515625" customWidth="1"/>
    <col min="4" max="4" width="12.140625" customWidth="1"/>
    <col min="5" max="5" width="11.42578125" customWidth="1"/>
    <col min="6" max="8" width="10.42578125" bestFit="1" customWidth="1"/>
    <col min="9" max="9" width="11.7109375" customWidth="1"/>
    <col min="10" max="10" width="12.42578125" customWidth="1"/>
    <col min="11" max="11" width="10.28515625" customWidth="1"/>
    <col min="12" max="12" width="10.5703125" customWidth="1"/>
    <col min="13" max="24" width="10.7109375" customWidth="1"/>
    <col min="25" max="32" width="12" style="7" customWidth="1"/>
    <col min="33" max="33" width="10.28515625" customWidth="1"/>
    <col min="34" max="34" width="14.28515625" customWidth="1"/>
    <col min="35" max="35" width="12.7109375" customWidth="1"/>
    <col min="36" max="36" width="14.140625" customWidth="1"/>
  </cols>
  <sheetData>
    <row r="1" spans="1:36" x14ac:dyDescent="0.25">
      <c r="A1" s="48" t="s">
        <v>24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</row>
    <row r="2" spans="1:36" x14ac:dyDescent="0.25">
      <c r="A2" s="6" t="s">
        <v>0</v>
      </c>
      <c r="B2" s="6" t="s">
        <v>1</v>
      </c>
      <c r="C2" s="6" t="s">
        <v>2</v>
      </c>
      <c r="D2" s="47" t="s">
        <v>3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6"/>
    </row>
    <row r="3" spans="1:36" x14ac:dyDescent="0.25">
      <c r="D3" s="2">
        <v>45962</v>
      </c>
      <c r="E3" s="2">
        <v>45963</v>
      </c>
      <c r="F3" s="2">
        <v>45964</v>
      </c>
      <c r="G3" s="2">
        <v>45965</v>
      </c>
      <c r="H3" s="2">
        <v>45966</v>
      </c>
      <c r="I3" s="2">
        <v>45967</v>
      </c>
      <c r="J3" s="2">
        <v>45968</v>
      </c>
      <c r="K3" s="2">
        <v>45969</v>
      </c>
      <c r="L3" s="2">
        <v>45970</v>
      </c>
      <c r="M3" s="2">
        <v>45971</v>
      </c>
      <c r="N3" s="2">
        <v>45972</v>
      </c>
      <c r="O3" s="2">
        <v>45973</v>
      </c>
      <c r="P3" s="2">
        <v>45974</v>
      </c>
      <c r="Q3" s="2">
        <v>45975</v>
      </c>
      <c r="R3" s="2">
        <v>45976</v>
      </c>
      <c r="S3" s="2">
        <v>45977</v>
      </c>
      <c r="T3" s="2">
        <v>45978</v>
      </c>
      <c r="U3" s="2">
        <v>45979</v>
      </c>
      <c r="V3" s="2">
        <v>45980</v>
      </c>
      <c r="W3" s="2">
        <v>45981</v>
      </c>
      <c r="X3" s="2">
        <v>45982</v>
      </c>
      <c r="Y3" s="2">
        <v>45983</v>
      </c>
      <c r="Z3" s="2">
        <v>45984</v>
      </c>
      <c r="AA3" s="2">
        <v>45985</v>
      </c>
      <c r="AB3" s="2">
        <v>45986</v>
      </c>
      <c r="AC3" s="2">
        <v>45987</v>
      </c>
      <c r="AD3" s="2">
        <v>45988</v>
      </c>
      <c r="AE3" s="2">
        <v>45989</v>
      </c>
      <c r="AF3" s="2">
        <v>45990</v>
      </c>
      <c r="AG3" s="2">
        <v>45991</v>
      </c>
      <c r="AH3" s="6" t="s">
        <v>26</v>
      </c>
      <c r="AI3" s="6" t="s">
        <v>27</v>
      </c>
      <c r="AJ3" s="6" t="s">
        <v>28</v>
      </c>
    </row>
    <row r="4" spans="1:36" x14ac:dyDescent="0.25">
      <c r="A4" s="1">
        <v>1</v>
      </c>
      <c r="B4" s="7" t="s">
        <v>4</v>
      </c>
      <c r="C4" s="7" t="s">
        <v>5</v>
      </c>
      <c r="D4" s="3" t="s">
        <v>21</v>
      </c>
      <c r="E4" s="3" t="s">
        <v>22</v>
      </c>
      <c r="F4" s="7" t="s">
        <v>21</v>
      </c>
      <c r="G4" s="7" t="s">
        <v>21</v>
      </c>
      <c r="H4" s="7" t="s">
        <v>21</v>
      </c>
      <c r="I4" s="7" t="s">
        <v>21</v>
      </c>
      <c r="J4" s="7" t="s">
        <v>21</v>
      </c>
      <c r="K4" s="12" t="s">
        <v>21</v>
      </c>
      <c r="L4" s="7" t="s">
        <v>22</v>
      </c>
      <c r="M4" s="14" t="s">
        <v>21</v>
      </c>
      <c r="S4" s="7" t="s">
        <v>22</v>
      </c>
      <c r="Z4" s="7" t="s">
        <v>22</v>
      </c>
      <c r="AG4" s="7" t="s">
        <v>22</v>
      </c>
      <c r="AH4">
        <f>COUNTIF(D4:AG4,"P")</f>
        <v>8</v>
      </c>
      <c r="AI4">
        <f>COUNTIF(D4:AG4,"A")</f>
        <v>0</v>
      </c>
      <c r="AJ4" s="8" t="e">
        <f>COUNTIF(D4:AG4,"P") / (COUNT(D4:AG4,"A")) * 100</f>
        <v>#DIV/0!</v>
      </c>
    </row>
    <row r="5" spans="1:36" x14ac:dyDescent="0.25">
      <c r="A5" s="1">
        <v>2</v>
      </c>
      <c r="B5" s="7" t="s">
        <v>6</v>
      </c>
      <c r="C5" s="7" t="s">
        <v>7</v>
      </c>
      <c r="D5" s="3" t="s">
        <v>21</v>
      </c>
      <c r="E5" s="3" t="s">
        <v>22</v>
      </c>
      <c r="F5" s="7" t="s">
        <v>21</v>
      </c>
      <c r="G5" s="7" t="s">
        <v>21</v>
      </c>
      <c r="H5" s="7" t="s">
        <v>21</v>
      </c>
      <c r="I5" s="12" t="s">
        <v>21</v>
      </c>
      <c r="J5" s="12" t="s">
        <v>21</v>
      </c>
      <c r="K5" s="13" t="s">
        <v>21</v>
      </c>
      <c r="L5" s="7" t="s">
        <v>22</v>
      </c>
      <c r="M5" s="14" t="s">
        <v>21</v>
      </c>
      <c r="S5" s="7" t="s">
        <v>22</v>
      </c>
      <c r="Z5" s="7" t="s">
        <v>22</v>
      </c>
      <c r="AG5" s="7" t="s">
        <v>22</v>
      </c>
      <c r="AH5">
        <f t="shared" ref="AH5:AH20" si="0">COUNTIF(D5:AG5,"P")</f>
        <v>8</v>
      </c>
      <c r="AI5">
        <f t="shared" ref="AI5:AI20" si="1">COUNTIF(D5:AG5,"A")</f>
        <v>0</v>
      </c>
      <c r="AJ5" s="8" t="e">
        <f t="shared" ref="AJ5:AJ20" si="2">COUNTIF(D5:AG5,"P") / (COUNT(D5:AG5,"A")) * 100</f>
        <v>#DIV/0!</v>
      </c>
    </row>
    <row r="6" spans="1:36" x14ac:dyDescent="0.25">
      <c r="A6" s="1">
        <v>3</v>
      </c>
      <c r="B6" s="7" t="s">
        <v>8</v>
      </c>
      <c r="C6" s="7" t="s">
        <v>7</v>
      </c>
      <c r="D6" s="3" t="s">
        <v>21</v>
      </c>
      <c r="E6" s="3" t="s">
        <v>22</v>
      </c>
      <c r="F6" s="7" t="s">
        <v>21</v>
      </c>
      <c r="G6" s="7" t="s">
        <v>21</v>
      </c>
      <c r="H6" s="7" t="s">
        <v>21</v>
      </c>
      <c r="I6" s="12" t="s">
        <v>21</v>
      </c>
      <c r="J6" s="12" t="s">
        <v>21</v>
      </c>
      <c r="K6" s="13" t="s">
        <v>21</v>
      </c>
      <c r="L6" s="7" t="s">
        <v>22</v>
      </c>
      <c r="M6" s="14" t="s">
        <v>21</v>
      </c>
      <c r="S6" s="7" t="s">
        <v>22</v>
      </c>
      <c r="Z6" s="7" t="s">
        <v>22</v>
      </c>
      <c r="AG6" s="7" t="s">
        <v>22</v>
      </c>
      <c r="AH6">
        <f t="shared" si="0"/>
        <v>8</v>
      </c>
      <c r="AI6">
        <f t="shared" si="1"/>
        <v>0</v>
      </c>
      <c r="AJ6" s="8" t="e">
        <f t="shared" si="2"/>
        <v>#DIV/0!</v>
      </c>
    </row>
    <row r="7" spans="1:36" x14ac:dyDescent="0.25">
      <c r="A7" s="1">
        <v>4</v>
      </c>
      <c r="B7" s="7" t="s">
        <v>9</v>
      </c>
      <c r="C7" s="7" t="s">
        <v>10</v>
      </c>
      <c r="D7" s="3" t="s">
        <v>21</v>
      </c>
      <c r="E7" s="3" t="s">
        <v>22</v>
      </c>
      <c r="F7" s="7" t="s">
        <v>21</v>
      </c>
      <c r="G7" s="7" t="s">
        <v>21</v>
      </c>
      <c r="H7" s="7" t="s">
        <v>21</v>
      </c>
      <c r="I7" s="12" t="s">
        <v>21</v>
      </c>
      <c r="J7" s="12" t="s">
        <v>21</v>
      </c>
      <c r="K7" s="13" t="s">
        <v>21</v>
      </c>
      <c r="L7" s="7" t="s">
        <v>22</v>
      </c>
      <c r="M7" s="14" t="s">
        <v>21</v>
      </c>
      <c r="S7" s="7" t="s">
        <v>22</v>
      </c>
      <c r="Z7" s="7" t="s">
        <v>22</v>
      </c>
      <c r="AG7" s="7" t="s">
        <v>22</v>
      </c>
      <c r="AH7">
        <f t="shared" si="0"/>
        <v>8</v>
      </c>
      <c r="AI7">
        <f t="shared" si="1"/>
        <v>0</v>
      </c>
      <c r="AJ7" s="8" t="e">
        <f t="shared" si="2"/>
        <v>#DIV/0!</v>
      </c>
    </row>
    <row r="8" spans="1:36" x14ac:dyDescent="0.25">
      <c r="A8" s="1">
        <v>5</v>
      </c>
      <c r="B8" s="7" t="s">
        <v>11</v>
      </c>
      <c r="C8" s="7" t="s">
        <v>7</v>
      </c>
      <c r="D8" s="3" t="s">
        <v>21</v>
      </c>
      <c r="E8" s="3" t="s">
        <v>22</v>
      </c>
      <c r="F8" s="7" t="s">
        <v>21</v>
      </c>
      <c r="G8" s="7" t="s">
        <v>21</v>
      </c>
      <c r="H8" s="7" t="s">
        <v>21</v>
      </c>
      <c r="I8" s="12" t="s">
        <v>21</v>
      </c>
      <c r="J8" s="12" t="s">
        <v>21</v>
      </c>
      <c r="K8" s="13" t="s">
        <v>21</v>
      </c>
      <c r="L8" s="7" t="s">
        <v>22</v>
      </c>
      <c r="M8" s="14" t="s">
        <v>21</v>
      </c>
      <c r="S8" s="7" t="s">
        <v>22</v>
      </c>
      <c r="Z8" s="7" t="s">
        <v>22</v>
      </c>
      <c r="AG8" s="7" t="s">
        <v>22</v>
      </c>
      <c r="AH8">
        <f t="shared" si="0"/>
        <v>8</v>
      </c>
      <c r="AI8">
        <f t="shared" si="1"/>
        <v>0</v>
      </c>
      <c r="AJ8" s="8" t="e">
        <f t="shared" si="2"/>
        <v>#DIV/0!</v>
      </c>
    </row>
    <row r="9" spans="1:36" x14ac:dyDescent="0.25">
      <c r="A9" s="1">
        <v>6</v>
      </c>
      <c r="B9" s="7" t="s">
        <v>12</v>
      </c>
      <c r="C9" s="7" t="s">
        <v>13</v>
      </c>
      <c r="D9" s="3" t="s">
        <v>21</v>
      </c>
      <c r="E9" s="3" t="s">
        <v>22</v>
      </c>
      <c r="F9" s="7" t="s">
        <v>21</v>
      </c>
      <c r="G9" s="7" t="s">
        <v>21</v>
      </c>
      <c r="H9" s="7" t="s">
        <v>21</v>
      </c>
      <c r="I9" s="12" t="s">
        <v>21</v>
      </c>
      <c r="J9" s="12" t="s">
        <v>21</v>
      </c>
      <c r="K9" s="13" t="s">
        <v>21</v>
      </c>
      <c r="L9" s="7" t="s">
        <v>22</v>
      </c>
      <c r="M9" s="14" t="s">
        <v>21</v>
      </c>
      <c r="S9" s="7" t="s">
        <v>22</v>
      </c>
      <c r="Z9" s="7" t="s">
        <v>22</v>
      </c>
      <c r="AG9" s="7" t="s">
        <v>22</v>
      </c>
      <c r="AH9">
        <f t="shared" si="0"/>
        <v>8</v>
      </c>
      <c r="AI9">
        <f t="shared" si="1"/>
        <v>0</v>
      </c>
      <c r="AJ9" s="8" t="e">
        <f t="shared" si="2"/>
        <v>#DIV/0!</v>
      </c>
    </row>
    <row r="10" spans="1:36" x14ac:dyDescent="0.25">
      <c r="A10" s="1">
        <v>7</v>
      </c>
      <c r="B10" s="7" t="s">
        <v>14</v>
      </c>
      <c r="C10" s="7" t="s">
        <v>10</v>
      </c>
      <c r="D10" s="3" t="s">
        <v>21</v>
      </c>
      <c r="E10" s="3" t="s">
        <v>22</v>
      </c>
      <c r="F10" s="7" t="s">
        <v>21</v>
      </c>
      <c r="G10" s="7" t="s">
        <v>21</v>
      </c>
      <c r="H10" s="7" t="s">
        <v>21</v>
      </c>
      <c r="I10" s="12" t="s">
        <v>21</v>
      </c>
      <c r="J10" s="12" t="s">
        <v>21</v>
      </c>
      <c r="K10" s="13" t="s">
        <v>21</v>
      </c>
      <c r="L10" s="7" t="s">
        <v>22</v>
      </c>
      <c r="M10" s="14" t="s">
        <v>21</v>
      </c>
      <c r="S10" s="7" t="s">
        <v>22</v>
      </c>
      <c r="Z10" s="7" t="s">
        <v>22</v>
      </c>
      <c r="AG10" s="7" t="s">
        <v>22</v>
      </c>
      <c r="AH10">
        <f t="shared" si="0"/>
        <v>8</v>
      </c>
      <c r="AI10">
        <f t="shared" si="1"/>
        <v>0</v>
      </c>
      <c r="AJ10" s="8" t="e">
        <f t="shared" si="2"/>
        <v>#DIV/0!</v>
      </c>
    </row>
    <row r="11" spans="1:36" x14ac:dyDescent="0.25">
      <c r="A11" s="7">
        <v>8</v>
      </c>
      <c r="B11" s="7" t="s">
        <v>15</v>
      </c>
      <c r="C11" s="7" t="s">
        <v>10</v>
      </c>
      <c r="D11" s="3"/>
      <c r="E11" s="3" t="s">
        <v>22</v>
      </c>
      <c r="F11" s="7" t="s">
        <v>21</v>
      </c>
      <c r="G11" s="7" t="s">
        <v>21</v>
      </c>
      <c r="H11" s="7" t="s">
        <v>21</v>
      </c>
      <c r="I11" s="12" t="s">
        <v>21</v>
      </c>
      <c r="J11" s="12" t="s">
        <v>21</v>
      </c>
      <c r="K11" s="13" t="s">
        <v>21</v>
      </c>
      <c r="L11" s="7" t="s">
        <v>22</v>
      </c>
      <c r="M11" s="14" t="s">
        <v>21</v>
      </c>
      <c r="S11" s="7" t="s">
        <v>22</v>
      </c>
      <c r="Z11" s="7" t="s">
        <v>22</v>
      </c>
      <c r="AG11" s="7" t="s">
        <v>22</v>
      </c>
      <c r="AH11">
        <f t="shared" si="0"/>
        <v>7</v>
      </c>
      <c r="AI11">
        <f t="shared" si="1"/>
        <v>0</v>
      </c>
      <c r="AJ11" s="8" t="e">
        <f t="shared" si="2"/>
        <v>#DIV/0!</v>
      </c>
    </row>
    <row r="12" spans="1:36" x14ac:dyDescent="0.25">
      <c r="A12" s="7">
        <v>9</v>
      </c>
      <c r="B12" s="7" t="s">
        <v>16</v>
      </c>
      <c r="C12" s="7" t="s">
        <v>17</v>
      </c>
      <c r="D12" s="3"/>
      <c r="E12" s="3" t="s">
        <v>22</v>
      </c>
      <c r="F12" s="7" t="s">
        <v>21</v>
      </c>
      <c r="G12" s="7" t="s">
        <v>21</v>
      </c>
      <c r="H12" s="7" t="s">
        <v>21</v>
      </c>
      <c r="I12" s="12" t="s">
        <v>21</v>
      </c>
      <c r="J12" s="12" t="s">
        <v>21</v>
      </c>
      <c r="K12" s="13" t="s">
        <v>21</v>
      </c>
      <c r="L12" s="7" t="s">
        <v>22</v>
      </c>
      <c r="M12" s="14" t="s">
        <v>21</v>
      </c>
      <c r="S12" s="7" t="s">
        <v>22</v>
      </c>
      <c r="Z12" s="7" t="s">
        <v>22</v>
      </c>
      <c r="AG12" s="7" t="s">
        <v>22</v>
      </c>
      <c r="AH12">
        <f t="shared" si="0"/>
        <v>7</v>
      </c>
      <c r="AI12">
        <f t="shared" si="1"/>
        <v>0</v>
      </c>
      <c r="AJ12" s="8" t="e">
        <f t="shared" si="2"/>
        <v>#DIV/0!</v>
      </c>
    </row>
    <row r="13" spans="1:36" x14ac:dyDescent="0.25">
      <c r="A13" s="7">
        <v>10</v>
      </c>
      <c r="B13" s="7" t="s">
        <v>18</v>
      </c>
      <c r="C13" s="7" t="s">
        <v>7</v>
      </c>
      <c r="D13" s="3"/>
      <c r="E13" s="3" t="s">
        <v>22</v>
      </c>
      <c r="F13" s="7" t="s">
        <v>21</v>
      </c>
      <c r="G13" s="7" t="s">
        <v>21</v>
      </c>
      <c r="H13" s="7" t="s">
        <v>21</v>
      </c>
      <c r="I13" s="12" t="s">
        <v>21</v>
      </c>
      <c r="J13" s="12" t="s">
        <v>21</v>
      </c>
      <c r="K13" s="13" t="s">
        <v>21</v>
      </c>
      <c r="L13" s="7" t="s">
        <v>22</v>
      </c>
      <c r="M13" s="14" t="s">
        <v>21</v>
      </c>
      <c r="S13" s="7" t="s">
        <v>22</v>
      </c>
      <c r="Z13" s="7" t="s">
        <v>22</v>
      </c>
      <c r="AG13" s="7" t="s">
        <v>22</v>
      </c>
      <c r="AH13">
        <f t="shared" si="0"/>
        <v>7</v>
      </c>
      <c r="AI13">
        <f t="shared" si="1"/>
        <v>0</v>
      </c>
      <c r="AJ13" s="8" t="e">
        <f t="shared" si="2"/>
        <v>#DIV/0!</v>
      </c>
    </row>
    <row r="14" spans="1:36" x14ac:dyDescent="0.25">
      <c r="A14" s="7">
        <v>11</v>
      </c>
      <c r="B14" s="7" t="s">
        <v>19</v>
      </c>
      <c r="C14" s="7" t="s">
        <v>10</v>
      </c>
      <c r="D14" s="3"/>
      <c r="E14" s="3" t="s">
        <v>22</v>
      </c>
      <c r="F14" s="7" t="s">
        <v>21</v>
      </c>
      <c r="G14" s="7" t="s">
        <v>21</v>
      </c>
      <c r="H14" s="7" t="s">
        <v>21</v>
      </c>
      <c r="I14" s="12" t="s">
        <v>21</v>
      </c>
      <c r="J14" s="12" t="s">
        <v>21</v>
      </c>
      <c r="K14" s="13" t="s">
        <v>21</v>
      </c>
      <c r="L14" s="7" t="s">
        <v>22</v>
      </c>
      <c r="M14" s="14" t="s">
        <v>21</v>
      </c>
      <c r="S14" s="7" t="s">
        <v>22</v>
      </c>
      <c r="Z14" s="7" t="s">
        <v>22</v>
      </c>
      <c r="AG14" s="7" t="s">
        <v>22</v>
      </c>
      <c r="AH14">
        <f t="shared" si="0"/>
        <v>7</v>
      </c>
      <c r="AI14">
        <f t="shared" si="1"/>
        <v>0</v>
      </c>
      <c r="AJ14" s="8" t="e">
        <f t="shared" si="2"/>
        <v>#DIV/0!</v>
      </c>
    </row>
    <row r="15" spans="1:36" x14ac:dyDescent="0.25">
      <c r="A15" s="7">
        <v>12</v>
      </c>
      <c r="B15" s="7" t="s">
        <v>20</v>
      </c>
      <c r="C15" s="7" t="s">
        <v>7</v>
      </c>
      <c r="D15" s="3"/>
      <c r="E15" s="3" t="s">
        <v>22</v>
      </c>
      <c r="F15" s="4" t="s">
        <v>21</v>
      </c>
      <c r="G15" s="7" t="s">
        <v>21</v>
      </c>
      <c r="H15" s="7" t="s">
        <v>21</v>
      </c>
      <c r="I15" s="12" t="s">
        <v>21</v>
      </c>
      <c r="J15" s="12" t="s">
        <v>21</v>
      </c>
      <c r="K15" s="13" t="s">
        <v>21</v>
      </c>
      <c r="L15" s="7" t="s">
        <v>22</v>
      </c>
      <c r="M15" s="14" t="s">
        <v>21</v>
      </c>
      <c r="S15" s="7" t="s">
        <v>22</v>
      </c>
      <c r="Z15" s="7" t="s">
        <v>22</v>
      </c>
      <c r="AG15" s="7" t="s">
        <v>22</v>
      </c>
      <c r="AH15">
        <f t="shared" si="0"/>
        <v>7</v>
      </c>
      <c r="AI15">
        <f t="shared" si="1"/>
        <v>0</v>
      </c>
      <c r="AJ15" s="8" t="e">
        <f t="shared" si="2"/>
        <v>#DIV/0!</v>
      </c>
    </row>
    <row r="16" spans="1:36" x14ac:dyDescent="0.25">
      <c r="A16" s="7">
        <v>13</v>
      </c>
      <c r="B16" s="7" t="s">
        <v>23</v>
      </c>
      <c r="C16" s="7" t="s">
        <v>7</v>
      </c>
      <c r="E16" s="3" t="s">
        <v>22</v>
      </c>
      <c r="F16" s="15" t="s">
        <v>33</v>
      </c>
      <c r="G16" s="15" t="s">
        <v>33</v>
      </c>
      <c r="H16" s="10" t="s">
        <v>21</v>
      </c>
      <c r="I16" s="12" t="s">
        <v>21</v>
      </c>
      <c r="J16" s="12" t="s">
        <v>21</v>
      </c>
      <c r="K16" s="13" t="s">
        <v>21</v>
      </c>
      <c r="L16" s="7" t="s">
        <v>22</v>
      </c>
      <c r="M16" s="14" t="s">
        <v>21</v>
      </c>
      <c r="S16" s="7" t="s">
        <v>22</v>
      </c>
      <c r="Z16" s="7" t="s">
        <v>22</v>
      </c>
      <c r="AG16" s="7" t="s">
        <v>22</v>
      </c>
      <c r="AH16">
        <f t="shared" si="0"/>
        <v>5</v>
      </c>
      <c r="AI16">
        <f t="shared" si="1"/>
        <v>0</v>
      </c>
      <c r="AJ16" s="8" t="e">
        <f t="shared" si="2"/>
        <v>#DIV/0!</v>
      </c>
    </row>
    <row r="17" spans="1:36" x14ac:dyDescent="0.25">
      <c r="A17" s="7">
        <v>14</v>
      </c>
      <c r="B17" s="7" t="s">
        <v>25</v>
      </c>
      <c r="C17" s="7" t="s">
        <v>7</v>
      </c>
      <c r="E17" s="3" t="s">
        <v>22</v>
      </c>
      <c r="F17" s="15" t="s">
        <v>33</v>
      </c>
      <c r="G17" s="15" t="s">
        <v>33</v>
      </c>
      <c r="I17" s="12" t="s">
        <v>21</v>
      </c>
      <c r="J17" s="12" t="s">
        <v>21</v>
      </c>
      <c r="K17" s="13" t="s">
        <v>21</v>
      </c>
      <c r="L17" s="7" t="s">
        <v>22</v>
      </c>
      <c r="M17" s="14" t="s">
        <v>21</v>
      </c>
      <c r="S17" s="7" t="s">
        <v>22</v>
      </c>
      <c r="Z17" s="7" t="s">
        <v>22</v>
      </c>
      <c r="AG17" s="7" t="s">
        <v>22</v>
      </c>
      <c r="AH17">
        <f t="shared" si="0"/>
        <v>4</v>
      </c>
      <c r="AI17">
        <f t="shared" si="1"/>
        <v>0</v>
      </c>
      <c r="AJ17" s="8" t="e">
        <f t="shared" si="2"/>
        <v>#DIV/0!</v>
      </c>
    </row>
    <row r="18" spans="1:36" x14ac:dyDescent="0.25">
      <c r="A18" s="9">
        <v>15</v>
      </c>
      <c r="B18" s="9" t="s">
        <v>29</v>
      </c>
      <c r="C18" s="9" t="s">
        <v>30</v>
      </c>
      <c r="D18" s="5" t="s">
        <v>31</v>
      </c>
      <c r="E18" s="5" t="s">
        <v>22</v>
      </c>
      <c r="F18" s="5" t="s">
        <v>31</v>
      </c>
      <c r="G18" s="5" t="s">
        <v>31</v>
      </c>
      <c r="H18" s="5" t="s">
        <v>21</v>
      </c>
      <c r="I18" s="12" t="s">
        <v>21</v>
      </c>
      <c r="J18" s="12" t="s">
        <v>21</v>
      </c>
      <c r="K18" s="13" t="s">
        <v>21</v>
      </c>
      <c r="L18" s="5" t="s">
        <v>22</v>
      </c>
      <c r="M18" s="14" t="s">
        <v>21</v>
      </c>
      <c r="N18" s="5"/>
      <c r="O18" s="5"/>
      <c r="P18" s="5"/>
      <c r="Q18" s="5"/>
      <c r="R18" s="5"/>
      <c r="S18" s="5" t="s">
        <v>22</v>
      </c>
      <c r="T18" s="5"/>
      <c r="U18" s="5"/>
      <c r="V18" s="5"/>
      <c r="W18" s="5"/>
      <c r="X18" s="5"/>
      <c r="Y18" s="5"/>
      <c r="Z18" s="5" t="s">
        <v>22</v>
      </c>
      <c r="AA18" s="5"/>
      <c r="AB18" s="5"/>
      <c r="AC18" s="5"/>
      <c r="AD18" s="5"/>
      <c r="AE18" s="5"/>
      <c r="AF18" s="5"/>
      <c r="AG18" s="5" t="s">
        <v>22</v>
      </c>
      <c r="AH18">
        <f t="shared" si="0"/>
        <v>5</v>
      </c>
      <c r="AI18">
        <f t="shared" si="1"/>
        <v>3</v>
      </c>
      <c r="AJ18" s="8" t="e">
        <f t="shared" si="2"/>
        <v>#DIV/0!</v>
      </c>
    </row>
    <row r="19" spans="1:36" x14ac:dyDescent="0.25">
      <c r="A19" s="12">
        <v>16</v>
      </c>
      <c r="B19" s="12" t="s">
        <v>32</v>
      </c>
      <c r="C19" s="12" t="s">
        <v>5</v>
      </c>
      <c r="E19" s="5" t="s">
        <v>22</v>
      </c>
      <c r="F19" s="5" t="s">
        <v>33</v>
      </c>
      <c r="G19" s="5" t="s">
        <v>33</v>
      </c>
      <c r="I19" s="12" t="s">
        <v>21</v>
      </c>
      <c r="J19" s="12" t="s">
        <v>21</v>
      </c>
      <c r="K19" s="13" t="s">
        <v>21</v>
      </c>
      <c r="L19" s="5" t="s">
        <v>22</v>
      </c>
      <c r="M19" s="14" t="s">
        <v>21</v>
      </c>
      <c r="S19" s="5" t="s">
        <v>22</v>
      </c>
      <c r="Z19" s="5" t="s">
        <v>22</v>
      </c>
      <c r="AG19" s="5" t="s">
        <v>22</v>
      </c>
      <c r="AH19">
        <f t="shared" si="0"/>
        <v>4</v>
      </c>
      <c r="AI19">
        <f t="shared" si="1"/>
        <v>0</v>
      </c>
      <c r="AJ19" s="8" t="e">
        <f t="shared" si="2"/>
        <v>#DIV/0!</v>
      </c>
    </row>
    <row r="20" spans="1:36" x14ac:dyDescent="0.25">
      <c r="A20" s="15">
        <v>17</v>
      </c>
      <c r="B20" s="15" t="s">
        <v>34</v>
      </c>
      <c r="C20" s="15" t="s">
        <v>10</v>
      </c>
      <c r="E20" s="5" t="s">
        <v>22</v>
      </c>
      <c r="L20" s="5" t="s">
        <v>22</v>
      </c>
      <c r="M20" s="15" t="s">
        <v>21</v>
      </c>
      <c r="S20" s="5" t="s">
        <v>22</v>
      </c>
      <c r="Z20" s="5" t="s">
        <v>22</v>
      </c>
      <c r="AG20" s="5" t="s">
        <v>22</v>
      </c>
      <c r="AH20">
        <f t="shared" si="0"/>
        <v>1</v>
      </c>
      <c r="AI20">
        <f t="shared" si="1"/>
        <v>0</v>
      </c>
      <c r="AJ20" s="8" t="e">
        <f t="shared" si="2"/>
        <v>#DIV/0!</v>
      </c>
    </row>
    <row r="21" spans="1:36" x14ac:dyDescent="0.25"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x14ac:dyDescent="0.25">
      <c r="Y22"/>
      <c r="Z22"/>
      <c r="AA22"/>
      <c r="AB22"/>
      <c r="AC22"/>
      <c r="AD22"/>
      <c r="AE22"/>
      <c r="AF22"/>
    </row>
  </sheetData>
  <mergeCells count="2">
    <mergeCell ref="D2:AG2"/>
    <mergeCell ref="A1:A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opLeftCell="A49" zoomScale="85" zoomScaleNormal="85" workbookViewId="0">
      <selection activeCell="B102" sqref="B102"/>
    </sheetView>
  </sheetViews>
  <sheetFormatPr defaultColWidth="14.140625" defaultRowHeight="15" x14ac:dyDescent="0.25"/>
  <cols>
    <col min="1" max="1" width="33.85546875" bestFit="1" customWidth="1"/>
    <col min="2" max="2" width="14.140625" customWidth="1"/>
    <col min="3" max="3" width="20.140625" style="16" customWidth="1"/>
    <col min="4" max="4" width="20.42578125" style="34" customWidth="1"/>
  </cols>
  <sheetData>
    <row r="1" spans="1:117" ht="63.75" customHeight="1" x14ac:dyDescent="0.25">
      <c r="A1" s="42" t="s">
        <v>197</v>
      </c>
      <c r="B1" s="32" t="s">
        <v>198</v>
      </c>
      <c r="C1" s="32" t="s">
        <v>199</v>
      </c>
      <c r="D1" s="33" t="s">
        <v>200</v>
      </c>
    </row>
    <row r="2" spans="1:117" s="34" customFormat="1" ht="18.75" customHeight="1" x14ac:dyDescent="0.25">
      <c r="A2" s="17" t="s">
        <v>35</v>
      </c>
      <c r="B2" s="18" t="s">
        <v>36</v>
      </c>
      <c r="C2" s="19" t="s">
        <v>37</v>
      </c>
      <c r="D2" s="20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</row>
    <row r="3" spans="1:117" s="34" customFormat="1" ht="15.75" customHeight="1" x14ac:dyDescent="0.25">
      <c r="A3" s="17" t="s">
        <v>38</v>
      </c>
      <c r="B3" s="18" t="s">
        <v>36</v>
      </c>
      <c r="C3" s="19" t="s">
        <v>37</v>
      </c>
      <c r="D3" s="20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</row>
    <row r="4" spans="1:117" s="34" customFormat="1" ht="15.75" x14ac:dyDescent="0.25">
      <c r="A4" s="17" t="s">
        <v>39</v>
      </c>
      <c r="B4" s="18" t="s">
        <v>36</v>
      </c>
      <c r="C4" s="19" t="s">
        <v>37</v>
      </c>
      <c r="D4" s="20" t="s">
        <v>201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</row>
    <row r="5" spans="1:117" s="34" customFormat="1" ht="15.75" x14ac:dyDescent="0.25">
      <c r="A5" s="17" t="s">
        <v>40</v>
      </c>
      <c r="B5" s="18" t="s">
        <v>36</v>
      </c>
      <c r="C5" s="19" t="s">
        <v>37</v>
      </c>
      <c r="D5" s="20" t="s">
        <v>202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</row>
    <row r="6" spans="1:117" s="34" customFormat="1" ht="15.75" x14ac:dyDescent="0.25">
      <c r="A6" s="17" t="s">
        <v>41</v>
      </c>
      <c r="B6" s="18" t="s">
        <v>36</v>
      </c>
      <c r="C6" s="19" t="s">
        <v>42</v>
      </c>
      <c r="D6" s="20" t="s">
        <v>203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</row>
    <row r="7" spans="1:117" s="34" customFormat="1" ht="15.75" x14ac:dyDescent="0.25">
      <c r="A7" s="17" t="s">
        <v>43</v>
      </c>
      <c r="B7" s="18" t="s">
        <v>36</v>
      </c>
      <c r="C7" s="19" t="s">
        <v>42</v>
      </c>
      <c r="D7" s="20" t="s">
        <v>204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</row>
    <row r="8" spans="1:117" s="34" customFormat="1" ht="15.75" x14ac:dyDescent="0.25">
      <c r="A8" s="21" t="s">
        <v>44</v>
      </c>
      <c r="B8" s="35" t="s">
        <v>36</v>
      </c>
      <c r="C8" s="36" t="s">
        <v>42</v>
      </c>
      <c r="D8" s="20" t="s">
        <v>205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</row>
    <row r="9" spans="1:117" s="34" customFormat="1" ht="15.75" x14ac:dyDescent="0.25">
      <c r="A9" s="17" t="s">
        <v>45</v>
      </c>
      <c r="B9" s="18" t="s">
        <v>36</v>
      </c>
      <c r="C9" s="19" t="s">
        <v>46</v>
      </c>
      <c r="D9" s="20" t="s">
        <v>206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</row>
    <row r="10" spans="1:117" s="34" customFormat="1" ht="15.75" x14ac:dyDescent="0.25">
      <c r="A10" s="17" t="s">
        <v>47</v>
      </c>
      <c r="B10" s="18" t="s">
        <v>36</v>
      </c>
      <c r="C10" s="19" t="s">
        <v>46</v>
      </c>
      <c r="D10" s="20" t="s">
        <v>207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</row>
    <row r="11" spans="1:117" s="34" customFormat="1" ht="15.75" x14ac:dyDescent="0.25">
      <c r="A11" s="17" t="s">
        <v>48</v>
      </c>
      <c r="B11" s="18" t="s">
        <v>36</v>
      </c>
      <c r="C11" s="19" t="s">
        <v>46</v>
      </c>
      <c r="D11" s="20" t="s">
        <v>208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</row>
    <row r="12" spans="1:117" s="34" customFormat="1" ht="15.75" x14ac:dyDescent="0.25">
      <c r="A12" s="17" t="s">
        <v>49</v>
      </c>
      <c r="B12" s="18" t="s">
        <v>36</v>
      </c>
      <c r="C12" s="19" t="s">
        <v>46</v>
      </c>
      <c r="D12" s="20" t="s">
        <v>209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</row>
    <row r="13" spans="1:117" s="34" customFormat="1" ht="15.75" x14ac:dyDescent="0.25">
      <c r="A13" s="17" t="s">
        <v>50</v>
      </c>
      <c r="B13" s="18" t="s">
        <v>36</v>
      </c>
      <c r="C13" s="19" t="s">
        <v>46</v>
      </c>
      <c r="D13" s="20" t="s">
        <v>206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</row>
    <row r="14" spans="1:117" s="34" customFormat="1" ht="18.75" customHeight="1" x14ac:dyDescent="0.25">
      <c r="A14" s="17" t="s">
        <v>51</v>
      </c>
      <c r="B14" s="18" t="s">
        <v>36</v>
      </c>
      <c r="C14" s="19" t="s">
        <v>46</v>
      </c>
      <c r="D14" s="20" t="s">
        <v>210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</row>
    <row r="15" spans="1:117" s="34" customFormat="1" ht="19.5" customHeight="1" x14ac:dyDescent="0.25">
      <c r="A15" s="17" t="s">
        <v>52</v>
      </c>
      <c r="B15" s="18" t="s">
        <v>36</v>
      </c>
      <c r="C15" s="19" t="s">
        <v>46</v>
      </c>
      <c r="D15" s="20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</row>
    <row r="16" spans="1:117" s="34" customFormat="1" ht="18" customHeight="1" x14ac:dyDescent="0.25">
      <c r="A16" s="17" t="s">
        <v>53</v>
      </c>
      <c r="B16" s="18" t="s">
        <v>36</v>
      </c>
      <c r="C16" s="19" t="s">
        <v>46</v>
      </c>
      <c r="D16" s="20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</row>
    <row r="17" spans="1:117" s="34" customFormat="1" ht="19.5" customHeight="1" x14ac:dyDescent="0.25">
      <c r="A17" s="17" t="s">
        <v>54</v>
      </c>
      <c r="B17" s="18" t="s">
        <v>36</v>
      </c>
      <c r="C17" s="19" t="s">
        <v>46</v>
      </c>
      <c r="D17" s="20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</row>
    <row r="18" spans="1:117" s="34" customFormat="1" ht="18" customHeight="1" x14ac:dyDescent="0.25">
      <c r="A18" s="17" t="s">
        <v>55</v>
      </c>
      <c r="B18" s="18" t="s">
        <v>36</v>
      </c>
      <c r="C18" s="19" t="s">
        <v>46</v>
      </c>
      <c r="D18" s="20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</row>
    <row r="19" spans="1:117" s="34" customFormat="1" ht="20.25" customHeight="1" x14ac:dyDescent="0.25">
      <c r="A19" s="17" t="s">
        <v>56</v>
      </c>
      <c r="B19" s="18" t="s">
        <v>36</v>
      </c>
      <c r="C19" s="19" t="s">
        <v>46</v>
      </c>
      <c r="D19" s="20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</row>
    <row r="20" spans="1:117" s="34" customFormat="1" ht="13.5" customHeight="1" x14ac:dyDescent="0.25">
      <c r="A20" s="17" t="s">
        <v>57</v>
      </c>
      <c r="B20" s="18" t="s">
        <v>36</v>
      </c>
      <c r="C20" s="19" t="s">
        <v>46</v>
      </c>
      <c r="D20" s="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</row>
    <row r="21" spans="1:117" s="34" customFormat="1" ht="15.75" customHeight="1" x14ac:dyDescent="0.25">
      <c r="A21" s="17" t="s">
        <v>58</v>
      </c>
      <c r="B21" s="18" t="s">
        <v>36</v>
      </c>
      <c r="C21" s="19" t="s">
        <v>46</v>
      </c>
      <c r="D21" s="20" t="s">
        <v>207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</row>
    <row r="22" spans="1:117" s="34" customFormat="1" ht="20.25" customHeight="1" x14ac:dyDescent="0.25">
      <c r="A22" s="17" t="s">
        <v>59</v>
      </c>
      <c r="B22" s="18" t="s">
        <v>36</v>
      </c>
      <c r="C22" s="19" t="s">
        <v>46</v>
      </c>
      <c r="D22" s="20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</row>
    <row r="23" spans="1:117" s="34" customFormat="1" ht="13.5" customHeight="1" x14ac:dyDescent="0.25">
      <c r="A23" s="17" t="s">
        <v>60</v>
      </c>
      <c r="B23" s="18" t="s">
        <v>36</v>
      </c>
      <c r="C23" s="19" t="s">
        <v>46</v>
      </c>
      <c r="D23" s="20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</row>
    <row r="24" spans="1:117" s="34" customFormat="1" ht="18.75" customHeight="1" x14ac:dyDescent="0.25">
      <c r="A24" s="17" t="s">
        <v>61</v>
      </c>
      <c r="B24" s="18" t="s">
        <v>36</v>
      </c>
      <c r="C24" s="19" t="s">
        <v>46</v>
      </c>
      <c r="D24" s="20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</row>
    <row r="25" spans="1:117" s="34" customFormat="1" ht="15.75" customHeight="1" x14ac:dyDescent="0.25">
      <c r="A25" s="17" t="s">
        <v>62</v>
      </c>
      <c r="B25" s="18" t="s">
        <v>36</v>
      </c>
      <c r="C25" s="19" t="s">
        <v>46</v>
      </c>
      <c r="D25" s="20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</row>
    <row r="26" spans="1:117" s="34" customFormat="1" ht="14.25" customHeight="1" x14ac:dyDescent="0.25">
      <c r="A26" s="17" t="s">
        <v>63</v>
      </c>
      <c r="B26" s="18" t="s">
        <v>36</v>
      </c>
      <c r="C26" s="19" t="s">
        <v>46</v>
      </c>
      <c r="D26" s="20" t="s">
        <v>211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</row>
    <row r="27" spans="1:117" s="34" customFormat="1" ht="18" customHeight="1" x14ac:dyDescent="0.25">
      <c r="A27" s="17" t="s">
        <v>64</v>
      </c>
      <c r="B27" s="18" t="s">
        <v>36</v>
      </c>
      <c r="C27" s="19" t="s">
        <v>46</v>
      </c>
      <c r="D27" s="20" t="s">
        <v>212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</row>
    <row r="28" spans="1:117" s="34" customFormat="1" ht="15.75" customHeight="1" x14ac:dyDescent="0.25">
      <c r="A28" s="17" t="s">
        <v>65</v>
      </c>
      <c r="B28" s="18" t="s">
        <v>36</v>
      </c>
      <c r="C28" s="19" t="s">
        <v>46</v>
      </c>
      <c r="D28" s="20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</row>
    <row r="29" spans="1:117" s="34" customFormat="1" ht="17.25" customHeight="1" x14ac:dyDescent="0.25">
      <c r="A29" s="17" t="s">
        <v>66</v>
      </c>
      <c r="B29" s="18" t="s">
        <v>36</v>
      </c>
      <c r="C29" s="19" t="s">
        <v>46</v>
      </c>
      <c r="D29" s="20" t="s">
        <v>213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</row>
    <row r="30" spans="1:117" s="34" customFormat="1" ht="15" customHeight="1" x14ac:dyDescent="0.25">
      <c r="A30" s="17" t="s">
        <v>67</v>
      </c>
      <c r="B30" s="18" t="s">
        <v>36</v>
      </c>
      <c r="C30" s="19" t="s">
        <v>46</v>
      </c>
      <c r="D30" s="2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</row>
    <row r="31" spans="1:117" s="34" customFormat="1" ht="15.75" x14ac:dyDescent="0.25">
      <c r="A31" s="22" t="s">
        <v>68</v>
      </c>
      <c r="B31" s="23" t="s">
        <v>36</v>
      </c>
      <c r="C31" s="24" t="s">
        <v>69</v>
      </c>
      <c r="D31" s="20" t="s">
        <v>214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</row>
    <row r="32" spans="1:117" s="34" customFormat="1" ht="15.75" x14ac:dyDescent="0.25">
      <c r="A32" s="25" t="s">
        <v>70</v>
      </c>
      <c r="B32" s="18" t="s">
        <v>36</v>
      </c>
      <c r="C32" s="19" t="s">
        <v>69</v>
      </c>
      <c r="D32" s="20" t="s">
        <v>214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</row>
    <row r="33" spans="1:117" s="35" customFormat="1" ht="15.75" x14ac:dyDescent="0.25">
      <c r="A33" s="22" t="s">
        <v>71</v>
      </c>
      <c r="B33" s="23" t="s">
        <v>36</v>
      </c>
      <c r="C33" s="24" t="s">
        <v>69</v>
      </c>
      <c r="D33" s="20" t="s">
        <v>214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</row>
    <row r="34" spans="1:117" s="34" customFormat="1" ht="15.75" x14ac:dyDescent="0.25">
      <c r="A34" s="25" t="s">
        <v>72</v>
      </c>
      <c r="B34" s="18" t="s">
        <v>36</v>
      </c>
      <c r="C34" s="19" t="s">
        <v>69</v>
      </c>
      <c r="D34" s="20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</row>
    <row r="35" spans="1:117" s="34" customFormat="1" ht="15.75" x14ac:dyDescent="0.25">
      <c r="A35" s="22" t="s">
        <v>73</v>
      </c>
      <c r="B35" s="23" t="s">
        <v>36</v>
      </c>
      <c r="C35" s="24" t="s">
        <v>69</v>
      </c>
      <c r="D35" s="20" t="s">
        <v>215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</row>
    <row r="36" spans="1:117" s="34" customFormat="1" ht="15.75" x14ac:dyDescent="0.25">
      <c r="A36" s="25" t="s">
        <v>74</v>
      </c>
      <c r="B36" s="18" t="s">
        <v>36</v>
      </c>
      <c r="C36" s="19" t="s">
        <v>69</v>
      </c>
      <c r="D36" s="20" t="s">
        <v>216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</row>
    <row r="37" spans="1:117" s="34" customFormat="1" ht="15.75" x14ac:dyDescent="0.25">
      <c r="A37" s="25" t="s">
        <v>75</v>
      </c>
      <c r="B37" s="18" t="s">
        <v>36</v>
      </c>
      <c r="C37" s="19" t="s">
        <v>69</v>
      </c>
      <c r="D37" s="20" t="s">
        <v>210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</row>
    <row r="38" spans="1:117" s="34" customFormat="1" ht="15.75" x14ac:dyDescent="0.25">
      <c r="A38" s="25" t="s">
        <v>76</v>
      </c>
      <c r="B38" s="18" t="s">
        <v>36</v>
      </c>
      <c r="C38" s="19" t="s">
        <v>69</v>
      </c>
      <c r="D38" s="20" t="s">
        <v>210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</row>
    <row r="39" spans="1:117" s="34" customFormat="1" ht="15.75" x14ac:dyDescent="0.25">
      <c r="A39" s="25" t="s">
        <v>77</v>
      </c>
      <c r="B39" s="18" t="s">
        <v>36</v>
      </c>
      <c r="C39" s="19" t="s">
        <v>69</v>
      </c>
      <c r="D39" s="20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</row>
    <row r="40" spans="1:117" s="34" customFormat="1" ht="15.75" x14ac:dyDescent="0.25">
      <c r="A40" s="25" t="s">
        <v>78</v>
      </c>
      <c r="B40" s="18" t="s">
        <v>36</v>
      </c>
      <c r="C40" s="19" t="s">
        <v>69</v>
      </c>
      <c r="D40" s="2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</row>
    <row r="41" spans="1:117" s="34" customFormat="1" ht="15.75" x14ac:dyDescent="0.25">
      <c r="A41" s="25" t="s">
        <v>79</v>
      </c>
      <c r="B41" s="18" t="s">
        <v>36</v>
      </c>
      <c r="C41" s="19" t="s">
        <v>69</v>
      </c>
      <c r="D41" s="20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</row>
    <row r="42" spans="1:117" s="34" customFormat="1" ht="15.75" x14ac:dyDescent="0.25">
      <c r="A42" s="25" t="s">
        <v>80</v>
      </c>
      <c r="B42" s="18" t="s">
        <v>36</v>
      </c>
      <c r="C42" s="19" t="s">
        <v>69</v>
      </c>
      <c r="D42" s="20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</row>
    <row r="43" spans="1:117" s="34" customFormat="1" ht="15.75" x14ac:dyDescent="0.25">
      <c r="A43" s="25" t="s">
        <v>81</v>
      </c>
      <c r="B43" s="18" t="s">
        <v>36</v>
      </c>
      <c r="C43" s="19" t="s">
        <v>69</v>
      </c>
      <c r="D43" s="20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</row>
    <row r="44" spans="1:117" s="34" customFormat="1" ht="15.75" x14ac:dyDescent="0.25">
      <c r="A44" s="25" t="s">
        <v>82</v>
      </c>
      <c r="B44" s="18" t="s">
        <v>36</v>
      </c>
      <c r="C44" s="19" t="s">
        <v>69</v>
      </c>
      <c r="D44" s="20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</row>
    <row r="45" spans="1:117" s="34" customFormat="1" ht="0.75" customHeight="1" x14ac:dyDescent="0.25">
      <c r="A45" s="25" t="s">
        <v>83</v>
      </c>
      <c r="B45" s="18" t="s">
        <v>36</v>
      </c>
      <c r="C45" s="19" t="s">
        <v>69</v>
      </c>
      <c r="D45" s="20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</row>
    <row r="46" spans="1:117" s="34" customFormat="1" ht="15.75" x14ac:dyDescent="0.25">
      <c r="A46" s="25" t="s">
        <v>84</v>
      </c>
      <c r="B46" s="18" t="s">
        <v>36</v>
      </c>
      <c r="C46" s="19" t="s">
        <v>69</v>
      </c>
      <c r="D46" s="20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</row>
    <row r="47" spans="1:117" s="34" customFormat="1" ht="15.75" x14ac:dyDescent="0.25">
      <c r="A47" s="25" t="s">
        <v>85</v>
      </c>
      <c r="B47" s="18" t="s">
        <v>36</v>
      </c>
      <c r="C47" s="19" t="s">
        <v>69</v>
      </c>
      <c r="D47" s="20" t="s">
        <v>218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</row>
    <row r="48" spans="1:117" s="34" customFormat="1" ht="15.75" x14ac:dyDescent="0.25">
      <c r="A48" s="25" t="s">
        <v>86</v>
      </c>
      <c r="B48" s="18" t="s">
        <v>36</v>
      </c>
      <c r="C48" s="19" t="s">
        <v>69</v>
      </c>
      <c r="D48" s="20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</row>
    <row r="49" spans="1:117" s="34" customFormat="1" ht="15.75" x14ac:dyDescent="0.25">
      <c r="A49" s="22" t="s">
        <v>87</v>
      </c>
      <c r="B49" s="23" t="s">
        <v>36</v>
      </c>
      <c r="C49" s="24" t="s">
        <v>69</v>
      </c>
      <c r="D49" s="20" t="s">
        <v>217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</row>
    <row r="50" spans="1:117" s="34" customFormat="1" ht="15.75" x14ac:dyDescent="0.25">
      <c r="A50" s="25" t="s">
        <v>88</v>
      </c>
      <c r="B50" s="18" t="s">
        <v>36</v>
      </c>
      <c r="C50" s="19" t="s">
        <v>69</v>
      </c>
      <c r="D50" s="2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</row>
    <row r="51" spans="1:117" s="34" customFormat="1" ht="15.75" x14ac:dyDescent="0.25">
      <c r="A51" s="25" t="s">
        <v>89</v>
      </c>
      <c r="B51" s="18" t="s">
        <v>36</v>
      </c>
      <c r="C51" s="19" t="s">
        <v>69</v>
      </c>
      <c r="D51" s="20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</row>
    <row r="52" spans="1:117" s="34" customFormat="1" ht="15.75" x14ac:dyDescent="0.25">
      <c r="A52" s="25" t="s">
        <v>90</v>
      </c>
      <c r="B52" s="18" t="s">
        <v>36</v>
      </c>
      <c r="C52" s="19" t="s">
        <v>69</v>
      </c>
      <c r="D52" s="20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</row>
    <row r="53" spans="1:117" s="34" customFormat="1" ht="15" customHeight="1" x14ac:dyDescent="0.25">
      <c r="A53" s="25" t="s">
        <v>91</v>
      </c>
      <c r="B53" s="18" t="s">
        <v>36</v>
      </c>
      <c r="C53" s="19" t="s">
        <v>69</v>
      </c>
      <c r="D53" s="20" t="s">
        <v>219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</row>
    <row r="54" spans="1:117" s="34" customFormat="1" ht="15.75" x14ac:dyDescent="0.25">
      <c r="A54" s="25" t="s">
        <v>92</v>
      </c>
      <c r="B54" s="18" t="s">
        <v>36</v>
      </c>
      <c r="C54" s="19" t="s">
        <v>69</v>
      </c>
      <c r="D54" s="20" t="s">
        <v>220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</row>
    <row r="55" spans="1:117" s="34" customFormat="1" ht="15.75" x14ac:dyDescent="0.25">
      <c r="A55" s="25" t="s">
        <v>93</v>
      </c>
      <c r="B55" s="18" t="s">
        <v>36</v>
      </c>
      <c r="C55" s="19" t="s">
        <v>69</v>
      </c>
      <c r="D55" s="20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</row>
    <row r="56" spans="1:117" s="34" customFormat="1" ht="15.75" x14ac:dyDescent="0.25">
      <c r="A56" s="25" t="s">
        <v>94</v>
      </c>
      <c r="B56" s="18" t="s">
        <v>36</v>
      </c>
      <c r="C56" s="19" t="s">
        <v>69</v>
      </c>
      <c r="D56" s="20" t="s">
        <v>220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</row>
    <row r="57" spans="1:117" s="34" customFormat="1" ht="15.75" x14ac:dyDescent="0.25">
      <c r="A57" s="26" t="s">
        <v>95</v>
      </c>
      <c r="B57" s="18" t="s">
        <v>36</v>
      </c>
      <c r="C57" s="19" t="s">
        <v>96</v>
      </c>
      <c r="D57" s="20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</row>
    <row r="58" spans="1:117" s="34" customFormat="1" ht="15.75" x14ac:dyDescent="0.25">
      <c r="A58" s="26" t="s">
        <v>97</v>
      </c>
      <c r="B58" s="18" t="s">
        <v>36</v>
      </c>
      <c r="C58" s="19" t="s">
        <v>96</v>
      </c>
      <c r="D58" s="20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</row>
    <row r="59" spans="1:117" s="34" customFormat="1" ht="17.25" customHeight="1" x14ac:dyDescent="0.25">
      <c r="A59" s="27" t="s">
        <v>224</v>
      </c>
      <c r="B59" s="18" t="s">
        <v>36</v>
      </c>
      <c r="C59" s="19" t="s">
        <v>98</v>
      </c>
      <c r="D59" s="20" t="s">
        <v>225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</row>
    <row r="60" spans="1:117" s="34" customFormat="1" ht="15.75" x14ac:dyDescent="0.25">
      <c r="A60" s="27" t="s">
        <v>99</v>
      </c>
      <c r="B60" s="18" t="s">
        <v>36</v>
      </c>
      <c r="C60" s="19" t="s">
        <v>98</v>
      </c>
      <c r="D60" s="2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</row>
    <row r="61" spans="1:117" s="34" customFormat="1" ht="16.5" customHeight="1" x14ac:dyDescent="0.25">
      <c r="A61" s="27" t="s">
        <v>100</v>
      </c>
      <c r="B61" s="18" t="s">
        <v>36</v>
      </c>
      <c r="C61" s="19" t="s">
        <v>98</v>
      </c>
      <c r="D61" s="20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</row>
    <row r="62" spans="1:117" s="34" customFormat="1" ht="17.25" customHeight="1" x14ac:dyDescent="0.25">
      <c r="A62" s="27" t="s">
        <v>101</v>
      </c>
      <c r="B62" s="18" t="s">
        <v>36</v>
      </c>
      <c r="C62" s="19" t="s">
        <v>98</v>
      </c>
      <c r="D62" s="20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</row>
    <row r="63" spans="1:117" s="34" customFormat="1" ht="18.75" customHeight="1" x14ac:dyDescent="0.25">
      <c r="A63" s="27" t="s">
        <v>226</v>
      </c>
      <c r="B63" s="18" t="s">
        <v>36</v>
      </c>
      <c r="C63" s="19" t="s">
        <v>98</v>
      </c>
      <c r="D63" s="20" t="s">
        <v>227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</row>
    <row r="64" spans="1:117" s="34" customFormat="1" ht="13.5" customHeight="1" x14ac:dyDescent="0.25">
      <c r="A64" s="27" t="s">
        <v>102</v>
      </c>
      <c r="B64" s="18" t="s">
        <v>36</v>
      </c>
      <c r="C64" s="19" t="s">
        <v>98</v>
      </c>
      <c r="D64" s="20" t="s">
        <v>221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</row>
    <row r="65" spans="1:117" s="34" customFormat="1" ht="15.75" x14ac:dyDescent="0.25">
      <c r="A65" s="27" t="s">
        <v>103</v>
      </c>
      <c r="B65" s="18" t="s">
        <v>36</v>
      </c>
      <c r="C65" s="19" t="s">
        <v>98</v>
      </c>
      <c r="D65" s="20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</row>
    <row r="66" spans="1:117" s="34" customFormat="1" ht="15.75" x14ac:dyDescent="0.25">
      <c r="A66" s="27" t="s">
        <v>104</v>
      </c>
      <c r="B66" s="18" t="s">
        <v>36</v>
      </c>
      <c r="C66" s="19" t="s">
        <v>98</v>
      </c>
      <c r="D66" s="20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</row>
    <row r="67" spans="1:117" s="34" customFormat="1" ht="15.75" x14ac:dyDescent="0.25">
      <c r="A67" s="27" t="s">
        <v>105</v>
      </c>
      <c r="B67" s="18" t="s">
        <v>36</v>
      </c>
      <c r="C67" s="19" t="s">
        <v>98</v>
      </c>
      <c r="D67" s="20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</row>
    <row r="68" spans="1:117" s="34" customFormat="1" ht="15.75" x14ac:dyDescent="0.25">
      <c r="A68" s="27" t="s">
        <v>106</v>
      </c>
      <c r="B68" s="18" t="s">
        <v>36</v>
      </c>
      <c r="C68" s="19" t="s">
        <v>98</v>
      </c>
      <c r="D68" s="20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</row>
    <row r="69" spans="1:117" s="34" customFormat="1" ht="15.75" x14ac:dyDescent="0.25">
      <c r="A69" s="27" t="s">
        <v>107</v>
      </c>
      <c r="B69" s="18" t="s">
        <v>36</v>
      </c>
      <c r="C69" s="19" t="s">
        <v>98</v>
      </c>
      <c r="D69" s="20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</row>
    <row r="70" spans="1:117" s="34" customFormat="1" ht="15.75" x14ac:dyDescent="0.25">
      <c r="A70" s="27" t="s">
        <v>108</v>
      </c>
      <c r="B70" s="18" t="s">
        <v>36</v>
      </c>
      <c r="C70" s="19" t="s">
        <v>98</v>
      </c>
      <c r="D70" s="2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</row>
    <row r="71" spans="1:117" s="34" customFormat="1" ht="15.75" x14ac:dyDescent="0.25">
      <c r="A71" s="27" t="s">
        <v>109</v>
      </c>
      <c r="B71" s="18" t="s">
        <v>36</v>
      </c>
      <c r="C71" s="19" t="s">
        <v>98</v>
      </c>
      <c r="D71" s="20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</row>
    <row r="72" spans="1:117" s="34" customFormat="1" ht="15.75" x14ac:dyDescent="0.25">
      <c r="A72" s="27" t="s">
        <v>110</v>
      </c>
      <c r="B72" s="18" t="s">
        <v>36</v>
      </c>
      <c r="C72" s="19" t="s">
        <v>98</v>
      </c>
      <c r="D72" s="20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</row>
    <row r="73" spans="1:117" s="34" customFormat="1" ht="15.75" x14ac:dyDescent="0.25">
      <c r="A73" s="27" t="s">
        <v>222</v>
      </c>
      <c r="B73" s="18" t="s">
        <v>36</v>
      </c>
      <c r="C73" s="19" t="s">
        <v>98</v>
      </c>
      <c r="D73" s="20" t="s">
        <v>223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</row>
    <row r="74" spans="1:117" s="34" customFormat="1" ht="15.75" x14ac:dyDescent="0.25">
      <c r="A74" s="27" t="s">
        <v>111</v>
      </c>
      <c r="B74" s="18" t="s">
        <v>36</v>
      </c>
      <c r="C74" s="19" t="s">
        <v>98</v>
      </c>
      <c r="D74" s="20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</row>
    <row r="75" spans="1:117" s="34" customFormat="1" ht="15.75" x14ac:dyDescent="0.25">
      <c r="A75" s="27" t="s">
        <v>112</v>
      </c>
      <c r="B75" s="18" t="s">
        <v>36</v>
      </c>
      <c r="C75" s="19" t="s">
        <v>98</v>
      </c>
      <c r="D75" s="20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</row>
    <row r="76" spans="1:117" s="34" customFormat="1" ht="18" customHeight="1" x14ac:dyDescent="0.25">
      <c r="A76" s="27" t="s">
        <v>113</v>
      </c>
      <c r="B76" s="18" t="s">
        <v>36</v>
      </c>
      <c r="C76" s="19" t="s">
        <v>98</v>
      </c>
      <c r="D76" s="20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</row>
    <row r="77" spans="1:117" s="34" customFormat="1" ht="18.75" customHeight="1" x14ac:dyDescent="0.25">
      <c r="A77" s="27" t="s">
        <v>114</v>
      </c>
      <c r="B77" s="18" t="s">
        <v>36</v>
      </c>
      <c r="C77" s="19" t="s">
        <v>98</v>
      </c>
      <c r="D77" s="20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</row>
    <row r="78" spans="1:117" s="34" customFormat="1" ht="15.75" x14ac:dyDescent="0.25">
      <c r="A78" s="28" t="s">
        <v>115</v>
      </c>
      <c r="B78" s="18" t="s">
        <v>36</v>
      </c>
      <c r="C78" s="19" t="s">
        <v>98</v>
      </c>
      <c r="D78" s="20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</row>
    <row r="79" spans="1:117" s="34" customFormat="1" ht="15.75" x14ac:dyDescent="0.25">
      <c r="A79" s="28" t="s">
        <v>116</v>
      </c>
      <c r="B79" s="18" t="s">
        <v>36</v>
      </c>
      <c r="C79" s="19" t="s">
        <v>98</v>
      </c>
      <c r="D79" s="20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</row>
    <row r="80" spans="1:117" s="34" customFormat="1" ht="15.75" x14ac:dyDescent="0.25">
      <c r="A80" s="28" t="s">
        <v>117</v>
      </c>
      <c r="B80" s="18" t="s">
        <v>36</v>
      </c>
      <c r="C80" s="19" t="s">
        <v>98</v>
      </c>
      <c r="D80" s="2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</row>
    <row r="81" spans="1:117" s="34" customFormat="1" ht="15.75" x14ac:dyDescent="0.25">
      <c r="A81" s="28" t="s">
        <v>118</v>
      </c>
      <c r="B81" s="18" t="s">
        <v>36</v>
      </c>
      <c r="C81" s="19" t="s">
        <v>98</v>
      </c>
      <c r="D81" s="20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</row>
    <row r="82" spans="1:117" s="34" customFormat="1" ht="15.75" x14ac:dyDescent="0.25">
      <c r="A82" s="28" t="s">
        <v>119</v>
      </c>
      <c r="B82" s="18" t="s">
        <v>36</v>
      </c>
      <c r="C82" s="19" t="s">
        <v>98</v>
      </c>
      <c r="D82" s="20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</row>
    <row r="83" spans="1:117" s="34" customFormat="1" ht="15.75" x14ac:dyDescent="0.25">
      <c r="A83" s="28" t="s">
        <v>120</v>
      </c>
      <c r="B83" s="18" t="s">
        <v>36</v>
      </c>
      <c r="C83" s="19" t="s">
        <v>98</v>
      </c>
      <c r="D83" s="20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</row>
    <row r="84" spans="1:117" s="34" customFormat="1" ht="15.75" x14ac:dyDescent="0.25">
      <c r="A84" s="28" t="s">
        <v>121</v>
      </c>
      <c r="B84" s="18" t="s">
        <v>36</v>
      </c>
      <c r="C84" s="19" t="s">
        <v>98</v>
      </c>
      <c r="D84" s="20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</row>
    <row r="85" spans="1:117" s="34" customFormat="1" ht="15.75" x14ac:dyDescent="0.25">
      <c r="A85" s="28" t="s">
        <v>122</v>
      </c>
      <c r="B85" s="18" t="s">
        <v>36</v>
      </c>
      <c r="C85" s="19" t="s">
        <v>98</v>
      </c>
      <c r="D85" s="20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</row>
    <row r="86" spans="1:117" s="34" customFormat="1" ht="15.75" x14ac:dyDescent="0.25">
      <c r="A86" s="28" t="s">
        <v>123</v>
      </c>
      <c r="B86" s="18" t="s">
        <v>36</v>
      </c>
      <c r="C86" s="19" t="s">
        <v>98</v>
      </c>
      <c r="D86" s="20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</row>
    <row r="87" spans="1:117" s="34" customFormat="1" ht="15.75" x14ac:dyDescent="0.25">
      <c r="A87" s="26" t="s">
        <v>124</v>
      </c>
      <c r="B87" s="18" t="s">
        <v>36</v>
      </c>
      <c r="C87" s="19" t="s">
        <v>98</v>
      </c>
      <c r="D87" s="20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</row>
    <row r="88" spans="1:117" s="34" customFormat="1" ht="15.75" x14ac:dyDescent="0.25">
      <c r="A88" s="29" t="s">
        <v>125</v>
      </c>
      <c r="B88" s="18" t="s">
        <v>36</v>
      </c>
      <c r="C88" s="19" t="s">
        <v>126</v>
      </c>
      <c r="D88" s="20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</row>
    <row r="89" spans="1:117" s="34" customFormat="1" ht="15.75" x14ac:dyDescent="0.25">
      <c r="A89" s="29" t="s">
        <v>127</v>
      </c>
      <c r="B89" s="18" t="s">
        <v>36</v>
      </c>
      <c r="C89" s="19" t="s">
        <v>126</v>
      </c>
      <c r="D89" s="20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</row>
    <row r="90" spans="1:117" s="34" customFormat="1" ht="15.75" x14ac:dyDescent="0.25">
      <c r="A90" s="29" t="s">
        <v>128</v>
      </c>
      <c r="B90" s="18" t="s">
        <v>36</v>
      </c>
      <c r="C90" s="19" t="s">
        <v>126</v>
      </c>
      <c r="D90" s="2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</row>
    <row r="91" spans="1:117" s="34" customFormat="1" ht="15.75" x14ac:dyDescent="0.25">
      <c r="A91" s="29" t="s">
        <v>129</v>
      </c>
      <c r="B91" s="18" t="s">
        <v>36</v>
      </c>
      <c r="C91" s="19" t="s">
        <v>126</v>
      </c>
      <c r="D91" s="20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</row>
    <row r="92" spans="1:117" s="34" customFormat="1" ht="15.75" x14ac:dyDescent="0.25">
      <c r="A92" s="29" t="s">
        <v>130</v>
      </c>
      <c r="B92" s="18" t="s">
        <v>36</v>
      </c>
      <c r="C92" s="19" t="s">
        <v>126</v>
      </c>
      <c r="D92" s="20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</row>
    <row r="93" spans="1:117" s="34" customFormat="1" ht="15.75" x14ac:dyDescent="0.25">
      <c r="A93" s="29" t="s">
        <v>131</v>
      </c>
      <c r="B93" s="18" t="s">
        <v>36</v>
      </c>
      <c r="C93" s="19" t="s">
        <v>126</v>
      </c>
      <c r="D93" s="20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</row>
    <row r="94" spans="1:117" s="34" customFormat="1" ht="15.75" x14ac:dyDescent="0.25">
      <c r="A94" s="29" t="s">
        <v>132</v>
      </c>
      <c r="B94" s="18" t="s">
        <v>36</v>
      </c>
      <c r="C94" s="19" t="s">
        <v>126</v>
      </c>
      <c r="D94" s="20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</row>
    <row r="95" spans="1:117" s="34" customFormat="1" ht="15.75" x14ac:dyDescent="0.25">
      <c r="A95" s="29" t="s">
        <v>133</v>
      </c>
      <c r="B95" s="18" t="s">
        <v>36</v>
      </c>
      <c r="C95" s="19" t="s">
        <v>126</v>
      </c>
      <c r="D95" s="20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</row>
    <row r="96" spans="1:117" s="34" customFormat="1" ht="15.75" x14ac:dyDescent="0.25">
      <c r="A96" s="29" t="s">
        <v>134</v>
      </c>
      <c r="B96" s="18" t="s">
        <v>36</v>
      </c>
      <c r="C96" s="19" t="s">
        <v>135</v>
      </c>
      <c r="D96" s="20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</row>
    <row r="97" spans="1:117" s="34" customFormat="1" ht="15.75" x14ac:dyDescent="0.25">
      <c r="A97" s="29" t="s">
        <v>136</v>
      </c>
      <c r="B97" s="18" t="s">
        <v>36</v>
      </c>
      <c r="C97" s="19" t="s">
        <v>135</v>
      </c>
      <c r="D97" s="20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</row>
    <row r="98" spans="1:117" s="34" customFormat="1" ht="15.75" x14ac:dyDescent="0.25">
      <c r="A98" s="29" t="s">
        <v>137</v>
      </c>
      <c r="B98" s="18" t="s">
        <v>36</v>
      </c>
      <c r="C98" s="19" t="s">
        <v>135</v>
      </c>
      <c r="D98" s="20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</row>
    <row r="99" spans="1:117" s="34" customFormat="1" ht="12" customHeight="1" x14ac:dyDescent="0.25">
      <c r="A99" s="29" t="s">
        <v>138</v>
      </c>
      <c r="B99" s="18" t="s">
        <v>36</v>
      </c>
      <c r="C99" s="19" t="s">
        <v>135</v>
      </c>
      <c r="D99" s="20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</row>
    <row r="100" spans="1:117" s="34" customFormat="1" ht="15.75" customHeight="1" x14ac:dyDescent="0.25">
      <c r="A100" s="29" t="s">
        <v>139</v>
      </c>
      <c r="B100" s="18" t="s">
        <v>36</v>
      </c>
      <c r="C100" s="19" t="s">
        <v>135</v>
      </c>
      <c r="D100" s="2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</row>
    <row r="101" spans="1:117" s="34" customFormat="1" ht="18.75" customHeight="1" x14ac:dyDescent="0.25">
      <c r="A101" s="29" t="s">
        <v>140</v>
      </c>
      <c r="B101" s="18" t="s">
        <v>36</v>
      </c>
      <c r="C101" s="19" t="s">
        <v>135</v>
      </c>
      <c r="D101" s="20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</row>
    <row r="102" spans="1:117" s="34" customFormat="1" ht="21" customHeight="1" x14ac:dyDescent="0.25">
      <c r="A102" s="29" t="s">
        <v>141</v>
      </c>
      <c r="B102" s="18" t="s">
        <v>36</v>
      </c>
      <c r="C102" s="19" t="s">
        <v>135</v>
      </c>
      <c r="D102" s="20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</row>
    <row r="103" spans="1:117" s="34" customFormat="1" ht="15.75" customHeight="1" x14ac:dyDescent="0.25">
      <c r="A103" s="29" t="s">
        <v>142</v>
      </c>
      <c r="B103" s="18" t="s">
        <v>36</v>
      </c>
      <c r="C103" s="19" t="s">
        <v>135</v>
      </c>
      <c r="D103" s="20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</row>
    <row r="104" spans="1:117" s="34" customFormat="1" ht="15.75" x14ac:dyDescent="0.25">
      <c r="A104" s="29" t="s">
        <v>143</v>
      </c>
      <c r="B104" s="18" t="s">
        <v>36</v>
      </c>
      <c r="C104" s="19" t="s">
        <v>135</v>
      </c>
      <c r="D104" s="20" t="s">
        <v>242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</row>
    <row r="105" spans="1:117" s="34" customFormat="1" ht="15.75" x14ac:dyDescent="0.25">
      <c r="A105" s="29" t="s">
        <v>144</v>
      </c>
      <c r="B105" s="18" t="s">
        <v>36</v>
      </c>
      <c r="C105" s="19" t="s">
        <v>135</v>
      </c>
      <c r="D105" s="20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</row>
    <row r="106" spans="1:117" s="34" customFormat="1" ht="15.75" x14ac:dyDescent="0.25">
      <c r="A106" s="29" t="s">
        <v>145</v>
      </c>
      <c r="B106" s="18" t="s">
        <v>36</v>
      </c>
      <c r="C106" s="19" t="s">
        <v>135</v>
      </c>
      <c r="D106" s="20" t="s">
        <v>241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</row>
    <row r="107" spans="1:117" s="34" customFormat="1" ht="18.75" customHeight="1" x14ac:dyDescent="0.25">
      <c r="A107" s="29" t="s">
        <v>146</v>
      </c>
      <c r="B107" s="18" t="s">
        <v>36</v>
      </c>
      <c r="C107" s="19" t="s">
        <v>135</v>
      </c>
      <c r="D107" s="20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</row>
    <row r="108" spans="1:117" s="34" customFormat="1" ht="18.75" customHeight="1" x14ac:dyDescent="0.25">
      <c r="A108" s="29"/>
      <c r="B108" s="18" t="s">
        <v>36</v>
      </c>
      <c r="C108" s="19" t="s">
        <v>135</v>
      </c>
      <c r="D108" s="20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</row>
    <row r="109" spans="1:117" s="34" customFormat="1" ht="20.25" customHeight="1" x14ac:dyDescent="0.25">
      <c r="A109" s="29" t="s">
        <v>147</v>
      </c>
      <c r="B109" s="18" t="s">
        <v>36</v>
      </c>
      <c r="C109" s="19" t="s">
        <v>135</v>
      </c>
      <c r="D109" s="20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</row>
    <row r="110" spans="1:117" s="34" customFormat="1" ht="17.25" customHeight="1" x14ac:dyDescent="0.25">
      <c r="A110" s="26" t="s">
        <v>148</v>
      </c>
      <c r="B110" s="18" t="s">
        <v>36</v>
      </c>
      <c r="C110" s="19" t="s">
        <v>149</v>
      </c>
      <c r="D110" s="2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</row>
    <row r="111" spans="1:117" s="34" customFormat="1" ht="16.5" customHeight="1" x14ac:dyDescent="0.25">
      <c r="A111" s="30" t="s">
        <v>150</v>
      </c>
      <c r="B111" s="18" t="s">
        <v>36</v>
      </c>
      <c r="C111" s="19" t="s">
        <v>151</v>
      </c>
      <c r="D111" s="20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</row>
    <row r="112" spans="1:117" s="34" customFormat="1" ht="14.25" customHeight="1" x14ac:dyDescent="0.25">
      <c r="A112" s="26" t="s">
        <v>152</v>
      </c>
      <c r="B112" s="18" t="s">
        <v>36</v>
      </c>
      <c r="C112" s="19" t="s">
        <v>151</v>
      </c>
      <c r="D112" s="20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</row>
    <row r="113" spans="1:117" s="34" customFormat="1" ht="15.75" x14ac:dyDescent="0.25">
      <c r="A113" s="26" t="s">
        <v>153</v>
      </c>
      <c r="B113" s="18" t="s">
        <v>36</v>
      </c>
      <c r="C113" s="19" t="s">
        <v>151</v>
      </c>
      <c r="D113" s="20" t="s">
        <v>240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</row>
    <row r="114" spans="1:117" s="34" customFormat="1" ht="15.75" x14ac:dyDescent="0.25">
      <c r="A114" s="26" t="s">
        <v>154</v>
      </c>
      <c r="B114" s="18" t="s">
        <v>36</v>
      </c>
      <c r="C114" s="19" t="s">
        <v>151</v>
      </c>
      <c r="D114" s="20" t="s">
        <v>231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</row>
    <row r="115" spans="1:117" s="34" customFormat="1" ht="15.75" x14ac:dyDescent="0.25">
      <c r="A115" s="26" t="s">
        <v>155</v>
      </c>
      <c r="B115" s="18" t="s">
        <v>36</v>
      </c>
      <c r="C115" s="19" t="s">
        <v>151</v>
      </c>
      <c r="D115" s="20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</row>
    <row r="116" spans="1:117" s="34" customFormat="1" ht="15.75" x14ac:dyDescent="0.25">
      <c r="A116" s="26" t="s">
        <v>156</v>
      </c>
      <c r="B116" s="18" t="s">
        <v>36</v>
      </c>
      <c r="C116" s="19" t="s">
        <v>151</v>
      </c>
      <c r="D116" s="20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</row>
    <row r="117" spans="1:117" s="34" customFormat="1" ht="18.75" customHeight="1" x14ac:dyDescent="0.25">
      <c r="A117" s="26" t="s">
        <v>157</v>
      </c>
      <c r="B117" s="18" t="s">
        <v>36</v>
      </c>
      <c r="C117" s="19" t="s">
        <v>151</v>
      </c>
      <c r="D117" s="20" t="s">
        <v>230</v>
      </c>
      <c r="E117" s="38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</row>
    <row r="118" spans="1:117" s="34" customFormat="1" ht="18" customHeight="1" x14ac:dyDescent="0.25">
      <c r="A118" s="26" t="s">
        <v>158</v>
      </c>
      <c r="B118" s="18" t="s">
        <v>36</v>
      </c>
      <c r="C118" s="19" t="s">
        <v>151</v>
      </c>
      <c r="D118" s="20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</row>
    <row r="119" spans="1:117" s="34" customFormat="1" ht="16.5" customHeight="1" x14ac:dyDescent="0.25">
      <c r="A119" s="26" t="s">
        <v>159</v>
      </c>
      <c r="B119" s="18" t="s">
        <v>36</v>
      </c>
      <c r="C119" s="19" t="s">
        <v>151</v>
      </c>
      <c r="D119" s="20" t="s">
        <v>229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</row>
    <row r="120" spans="1:117" s="34" customFormat="1" ht="15" customHeight="1" x14ac:dyDescent="0.25">
      <c r="A120" s="26" t="s">
        <v>160</v>
      </c>
      <c r="B120" s="18" t="s">
        <v>36</v>
      </c>
      <c r="C120" s="19" t="s">
        <v>151</v>
      </c>
      <c r="D120" s="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</row>
    <row r="121" spans="1:117" s="34" customFormat="1" ht="14.25" customHeight="1" x14ac:dyDescent="0.25">
      <c r="A121" s="26" t="s">
        <v>161</v>
      </c>
      <c r="B121" s="18" t="s">
        <v>36</v>
      </c>
      <c r="C121" s="19" t="s">
        <v>151</v>
      </c>
      <c r="D121" s="20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</row>
    <row r="122" spans="1:117" s="34" customFormat="1" ht="13.5" customHeight="1" x14ac:dyDescent="0.25">
      <c r="A122" s="26" t="s">
        <v>162</v>
      </c>
      <c r="B122" s="18" t="s">
        <v>163</v>
      </c>
      <c r="C122" s="19" t="s">
        <v>151</v>
      </c>
      <c r="D122" s="20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</row>
    <row r="123" spans="1:117" s="34" customFormat="1" ht="21.75" customHeight="1" x14ac:dyDescent="0.25">
      <c r="A123" s="26" t="s">
        <v>164</v>
      </c>
      <c r="B123" s="18" t="s">
        <v>36</v>
      </c>
      <c r="C123" s="19" t="s">
        <v>151</v>
      </c>
      <c r="D123" s="20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</row>
    <row r="124" spans="1:117" s="34" customFormat="1" ht="18.75" customHeight="1" x14ac:dyDescent="0.25">
      <c r="A124" s="26" t="s">
        <v>165</v>
      </c>
      <c r="B124" s="18" t="s">
        <v>36</v>
      </c>
      <c r="C124" s="19" t="s">
        <v>151</v>
      </c>
      <c r="D124" s="20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</row>
    <row r="125" spans="1:117" s="34" customFormat="1" ht="18.75" customHeight="1" x14ac:dyDescent="0.25">
      <c r="A125" s="26" t="s">
        <v>166</v>
      </c>
      <c r="B125" s="18" t="s">
        <v>36</v>
      </c>
      <c r="C125" s="19" t="s">
        <v>151</v>
      </c>
      <c r="D125" s="20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</row>
    <row r="126" spans="1:117" s="34" customFormat="1" ht="15.75" x14ac:dyDescent="0.25">
      <c r="A126" s="26" t="s">
        <v>167</v>
      </c>
      <c r="B126" s="18" t="s">
        <v>36</v>
      </c>
      <c r="C126" s="19" t="s">
        <v>151</v>
      </c>
      <c r="D126" s="20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</row>
    <row r="127" spans="1:117" s="34" customFormat="1" ht="14.25" customHeight="1" x14ac:dyDescent="0.25">
      <c r="A127" s="26" t="s">
        <v>168</v>
      </c>
      <c r="B127" s="18" t="s">
        <v>36</v>
      </c>
      <c r="C127" s="19" t="s">
        <v>151</v>
      </c>
      <c r="D127" s="20" t="s">
        <v>228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</row>
    <row r="128" spans="1:117" s="34" customFormat="1" ht="13.5" customHeight="1" x14ac:dyDescent="0.25">
      <c r="A128" s="26" t="s">
        <v>169</v>
      </c>
      <c r="B128" s="18" t="s">
        <v>36</v>
      </c>
      <c r="C128" s="19" t="s">
        <v>151</v>
      </c>
      <c r="D128" s="20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</row>
    <row r="129" spans="1:117" s="34" customFormat="1" ht="17.25" customHeight="1" x14ac:dyDescent="0.25">
      <c r="A129" s="26" t="s">
        <v>170</v>
      </c>
      <c r="B129" s="18" t="s">
        <v>36</v>
      </c>
      <c r="C129" s="19" t="s">
        <v>151</v>
      </c>
      <c r="D129" s="20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</row>
    <row r="130" spans="1:117" s="34" customFormat="1" ht="15.75" x14ac:dyDescent="0.25">
      <c r="A130" s="26" t="s">
        <v>171</v>
      </c>
      <c r="B130" s="18" t="s">
        <v>36</v>
      </c>
      <c r="C130" s="19" t="s">
        <v>172</v>
      </c>
      <c r="D130" s="2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</row>
    <row r="131" spans="1:117" s="34" customFormat="1" ht="14.25" customHeight="1" x14ac:dyDescent="0.25">
      <c r="A131" s="26" t="s">
        <v>173</v>
      </c>
      <c r="B131" s="18" t="s">
        <v>36</v>
      </c>
      <c r="C131" s="19" t="s">
        <v>172</v>
      </c>
      <c r="D131" s="20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</row>
    <row r="132" spans="1:117" s="34" customFormat="1" ht="17.25" customHeight="1" x14ac:dyDescent="0.25">
      <c r="A132" s="26" t="s">
        <v>174</v>
      </c>
      <c r="B132" s="18" t="s">
        <v>36</v>
      </c>
      <c r="C132" s="19" t="s">
        <v>172</v>
      </c>
      <c r="D132" s="20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</row>
    <row r="133" spans="1:117" s="34" customFormat="1" ht="15.75" x14ac:dyDescent="0.25">
      <c r="A133" s="26" t="s">
        <v>175</v>
      </c>
      <c r="B133" s="18" t="s">
        <v>36</v>
      </c>
      <c r="C133" s="19" t="s">
        <v>176</v>
      </c>
      <c r="D133" s="20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</row>
    <row r="134" spans="1:117" s="34" customFormat="1" ht="15.75" x14ac:dyDescent="0.25">
      <c r="A134" s="26" t="s">
        <v>177</v>
      </c>
      <c r="B134" s="18" t="s">
        <v>36</v>
      </c>
      <c r="C134" s="19" t="s">
        <v>178</v>
      </c>
      <c r="D134" s="20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</row>
    <row r="135" spans="1:117" s="34" customFormat="1" ht="15.75" x14ac:dyDescent="0.25">
      <c r="A135" s="26" t="s">
        <v>179</v>
      </c>
      <c r="B135" s="18" t="s">
        <v>36</v>
      </c>
      <c r="C135" s="19" t="s">
        <v>178</v>
      </c>
      <c r="D135" s="20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</row>
    <row r="136" spans="1:117" s="34" customFormat="1" ht="15.75" x14ac:dyDescent="0.25">
      <c r="A136" s="26" t="s">
        <v>180</v>
      </c>
      <c r="B136" s="18" t="s">
        <v>36</v>
      </c>
      <c r="C136" s="19" t="s">
        <v>181</v>
      </c>
      <c r="D136" s="20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</row>
    <row r="137" spans="1:117" s="34" customFormat="1" ht="17.25" customHeight="1" x14ac:dyDescent="0.25">
      <c r="A137" s="26" t="s">
        <v>182</v>
      </c>
      <c r="B137" s="18" t="s">
        <v>36</v>
      </c>
      <c r="C137" s="19" t="s">
        <v>181</v>
      </c>
      <c r="D137" s="20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</row>
    <row r="138" spans="1:117" s="34" customFormat="1" ht="15.75" x14ac:dyDescent="0.25">
      <c r="A138" s="17" t="s">
        <v>183</v>
      </c>
      <c r="B138" s="18" t="s">
        <v>36</v>
      </c>
      <c r="C138" s="19" t="s">
        <v>149</v>
      </c>
      <c r="D138" s="20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</row>
    <row r="139" spans="1:117" s="34" customFormat="1" ht="15.75" x14ac:dyDescent="0.25">
      <c r="A139" s="17" t="s">
        <v>184</v>
      </c>
      <c r="B139" s="18" t="s">
        <v>36</v>
      </c>
      <c r="C139" s="19" t="s">
        <v>149</v>
      </c>
      <c r="D139" s="20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</row>
    <row r="140" spans="1:117" s="34" customFormat="1" ht="15.75" x14ac:dyDescent="0.25">
      <c r="A140" s="34" t="s">
        <v>185</v>
      </c>
      <c r="B140" s="18" t="s">
        <v>36</v>
      </c>
      <c r="C140" s="19" t="s">
        <v>185</v>
      </c>
      <c r="D140" s="2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</row>
    <row r="141" spans="1:117" s="34" customFormat="1" ht="15.75" x14ac:dyDescent="0.25">
      <c r="A141" s="34" t="s">
        <v>186</v>
      </c>
      <c r="B141" s="18" t="s">
        <v>36</v>
      </c>
      <c r="C141" s="19" t="s">
        <v>187</v>
      </c>
      <c r="D141" s="20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</row>
    <row r="142" spans="1:117" s="34" customFormat="1" ht="15.75" x14ac:dyDescent="0.25">
      <c r="A142" s="26" t="s">
        <v>188</v>
      </c>
      <c r="B142" s="18" t="s">
        <v>36</v>
      </c>
      <c r="C142" s="19" t="s">
        <v>151</v>
      </c>
      <c r="D142" s="20" t="s">
        <v>235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</row>
    <row r="143" spans="1:117" s="34" customFormat="1" ht="15.75" x14ac:dyDescent="0.25">
      <c r="A143" s="26" t="s">
        <v>189</v>
      </c>
      <c r="B143" s="18" t="s">
        <v>36</v>
      </c>
      <c r="C143" s="19" t="s">
        <v>151</v>
      </c>
      <c r="D143" s="20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</row>
    <row r="144" spans="1:117" s="34" customFormat="1" ht="15.75" x14ac:dyDescent="0.25">
      <c r="A144" s="26" t="s">
        <v>190</v>
      </c>
      <c r="B144" s="18" t="s">
        <v>36</v>
      </c>
      <c r="C144" s="19" t="s">
        <v>151</v>
      </c>
      <c r="D144" s="20" t="s">
        <v>239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</row>
    <row r="145" spans="1:117" s="34" customFormat="1" ht="15.75" x14ac:dyDescent="0.25">
      <c r="A145" s="26" t="s">
        <v>191</v>
      </c>
      <c r="B145" s="18" t="s">
        <v>36</v>
      </c>
      <c r="C145" s="19" t="s">
        <v>151</v>
      </c>
      <c r="D145" s="20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</row>
    <row r="146" spans="1:117" s="34" customFormat="1" ht="15.75" x14ac:dyDescent="0.25">
      <c r="A146" s="31" t="s">
        <v>192</v>
      </c>
      <c r="B146" s="23" t="s">
        <v>36</v>
      </c>
      <c r="C146" s="24" t="s">
        <v>151</v>
      </c>
      <c r="D146" s="20" t="s">
        <v>236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</row>
    <row r="147" spans="1:117" s="34" customFormat="1" ht="15.75" x14ac:dyDescent="0.25">
      <c r="A147" s="31" t="s">
        <v>193</v>
      </c>
      <c r="B147" s="23" t="s">
        <v>36</v>
      </c>
      <c r="C147" s="24" t="s">
        <v>151</v>
      </c>
      <c r="D147" s="20" t="s">
        <v>232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</row>
    <row r="148" spans="1:117" s="34" customFormat="1" ht="15.75" x14ac:dyDescent="0.25">
      <c r="A148" s="26" t="s">
        <v>194</v>
      </c>
      <c r="B148" s="18" t="s">
        <v>36</v>
      </c>
      <c r="C148" s="19" t="s">
        <v>151</v>
      </c>
      <c r="D148" s="20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</row>
    <row r="149" spans="1:117" s="34" customFormat="1" ht="16.5" customHeight="1" x14ac:dyDescent="0.25">
      <c r="A149" s="26" t="s">
        <v>195</v>
      </c>
      <c r="B149" s="18" t="s">
        <v>36</v>
      </c>
      <c r="C149" s="19" t="s">
        <v>151</v>
      </c>
      <c r="D149" s="20" t="s">
        <v>238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</row>
    <row r="150" spans="1:117" ht="15.75" x14ac:dyDescent="0.25">
      <c r="A150" s="39" t="s">
        <v>196</v>
      </c>
      <c r="B150" s="40" t="s">
        <v>36</v>
      </c>
      <c r="C150" s="41" t="s">
        <v>151</v>
      </c>
      <c r="D150" s="20" t="s">
        <v>237</v>
      </c>
    </row>
    <row r="151" spans="1:117" ht="15.75" x14ac:dyDescent="0.25">
      <c r="A151" s="39" t="s">
        <v>233</v>
      </c>
      <c r="B151" s="40" t="s">
        <v>36</v>
      </c>
      <c r="C151" s="41" t="s">
        <v>151</v>
      </c>
      <c r="D151" s="46" t="s">
        <v>234</v>
      </c>
    </row>
    <row r="152" spans="1:117" ht="15.75" x14ac:dyDescent="0.25">
      <c r="A152" s="43"/>
      <c r="B152" s="44"/>
      <c r="C152" s="45"/>
      <c r="D152" s="46"/>
    </row>
    <row r="153" spans="1:117" x14ac:dyDescent="0.25">
      <c r="D153"/>
    </row>
    <row r="154" spans="1:117" x14ac:dyDescent="0.25">
      <c r="D154"/>
    </row>
    <row r="155" spans="1:117" x14ac:dyDescent="0.25">
      <c r="D155"/>
    </row>
    <row r="156" spans="1:117" x14ac:dyDescent="0.25">
      <c r="D156"/>
    </row>
    <row r="157" spans="1:117" x14ac:dyDescent="0.25">
      <c r="D157"/>
    </row>
    <row r="158" spans="1:117" x14ac:dyDescent="0.25">
      <c r="D158"/>
    </row>
    <row r="159" spans="1:117" x14ac:dyDescent="0.25">
      <c r="D159"/>
    </row>
    <row r="160" spans="1:117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  <row r="782" spans="4:4" x14ac:dyDescent="0.25">
      <c r="D782"/>
    </row>
    <row r="783" spans="4:4" x14ac:dyDescent="0.25">
      <c r="D783"/>
    </row>
    <row r="784" spans="4:4" x14ac:dyDescent="0.25">
      <c r="D784"/>
    </row>
    <row r="785" spans="4:4" x14ac:dyDescent="0.25">
      <c r="D785"/>
    </row>
    <row r="786" spans="4:4" x14ac:dyDescent="0.25">
      <c r="D786"/>
    </row>
    <row r="787" spans="4:4" x14ac:dyDescent="0.25">
      <c r="D787"/>
    </row>
    <row r="788" spans="4:4" x14ac:dyDescent="0.25">
      <c r="D788"/>
    </row>
    <row r="789" spans="4:4" x14ac:dyDescent="0.25">
      <c r="D789"/>
    </row>
    <row r="790" spans="4:4" x14ac:dyDescent="0.25">
      <c r="D790" s="40"/>
    </row>
    <row r="1048576" spans="6:6" x14ac:dyDescent="0.25">
      <c r="F1048576">
        <f>SUM(F1:F1048575)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33" workbookViewId="0">
      <selection activeCell="F5" sqref="F5"/>
    </sheetView>
  </sheetViews>
  <sheetFormatPr defaultRowHeight="15" x14ac:dyDescent="0.25"/>
  <cols>
    <col min="1" max="1" width="13" customWidth="1"/>
    <col min="2" max="2" width="30.140625" customWidth="1"/>
    <col min="3" max="3" width="13.85546875" customWidth="1"/>
    <col min="4" max="4" width="16.5703125" customWidth="1"/>
  </cols>
  <sheetData>
    <row r="1" spans="1:4" ht="19.5" x14ac:dyDescent="0.25">
      <c r="A1" s="49" t="s">
        <v>311</v>
      </c>
      <c r="B1" s="49"/>
      <c r="C1" s="49"/>
      <c r="D1" s="49"/>
    </row>
    <row r="2" spans="1:4" ht="15.75" x14ac:dyDescent="0.25">
      <c r="A2" s="59" t="s">
        <v>243</v>
      </c>
      <c r="B2" s="59" t="s">
        <v>244</v>
      </c>
      <c r="C2" s="59" t="s">
        <v>321</v>
      </c>
      <c r="D2" s="60" t="s">
        <v>245</v>
      </c>
    </row>
    <row r="3" spans="1:4" ht="15.75" x14ac:dyDescent="0.25">
      <c r="A3" s="50">
        <v>1</v>
      </c>
      <c r="B3" s="34" t="s">
        <v>246</v>
      </c>
      <c r="C3" s="51" t="s">
        <v>247</v>
      </c>
      <c r="D3" s="52">
        <v>5</v>
      </c>
    </row>
    <row r="4" spans="1:4" ht="15.75" x14ac:dyDescent="0.25">
      <c r="A4" s="50">
        <v>2</v>
      </c>
      <c r="B4" s="34" t="s">
        <v>248</v>
      </c>
      <c r="C4" s="51" t="s">
        <v>249</v>
      </c>
      <c r="D4" s="52">
        <v>5</v>
      </c>
    </row>
    <row r="5" spans="1:4" ht="15.75" x14ac:dyDescent="0.25">
      <c r="A5" s="50">
        <v>3</v>
      </c>
      <c r="B5" s="34" t="s">
        <v>250</v>
      </c>
      <c r="C5" s="51" t="s">
        <v>251</v>
      </c>
      <c r="D5" s="52">
        <v>5</v>
      </c>
    </row>
    <row r="6" spans="1:4" ht="15.75" x14ac:dyDescent="0.25">
      <c r="A6" s="50">
        <v>4</v>
      </c>
      <c r="B6" s="34" t="s">
        <v>252</v>
      </c>
      <c r="C6" s="51"/>
      <c r="D6" s="52">
        <v>5</v>
      </c>
    </row>
    <row r="7" spans="1:4" ht="15.75" x14ac:dyDescent="0.25">
      <c r="A7" s="50">
        <v>5</v>
      </c>
      <c r="B7" s="34" t="s">
        <v>253</v>
      </c>
      <c r="C7" s="51" t="s">
        <v>254</v>
      </c>
      <c r="D7" s="52">
        <v>7</v>
      </c>
    </row>
    <row r="8" spans="1:4" ht="15.75" x14ac:dyDescent="0.25">
      <c r="A8" s="50">
        <v>6</v>
      </c>
      <c r="B8" s="34" t="s">
        <v>255</v>
      </c>
      <c r="C8" s="51" t="s">
        <v>256</v>
      </c>
      <c r="D8" s="52">
        <v>6</v>
      </c>
    </row>
    <row r="9" spans="1:4" ht="15.75" x14ac:dyDescent="0.25">
      <c r="A9" s="50">
        <v>7</v>
      </c>
      <c r="B9" s="34" t="s">
        <v>257</v>
      </c>
      <c r="C9" s="51" t="s">
        <v>256</v>
      </c>
      <c r="D9" s="52">
        <v>6</v>
      </c>
    </row>
    <row r="10" spans="1:4" ht="15.75" x14ac:dyDescent="0.25">
      <c r="A10" s="50">
        <v>8</v>
      </c>
      <c r="B10" s="34" t="s">
        <v>258</v>
      </c>
      <c r="C10" s="51" t="s">
        <v>256</v>
      </c>
      <c r="D10" s="52">
        <v>2</v>
      </c>
    </row>
    <row r="11" spans="1:4" ht="15.75" x14ac:dyDescent="0.25">
      <c r="A11" s="50">
        <v>9</v>
      </c>
      <c r="B11" s="34" t="s">
        <v>259</v>
      </c>
      <c r="C11" s="51" t="s">
        <v>256</v>
      </c>
      <c r="D11" s="52">
        <v>7</v>
      </c>
    </row>
    <row r="12" spans="1:4" ht="15.75" x14ac:dyDescent="0.25">
      <c r="A12" s="50">
        <v>10</v>
      </c>
      <c r="B12" s="34" t="s">
        <v>260</v>
      </c>
      <c r="C12" s="51" t="s">
        <v>261</v>
      </c>
      <c r="D12" s="52">
        <v>5</v>
      </c>
    </row>
    <row r="13" spans="1:4" ht="15.75" x14ac:dyDescent="0.25">
      <c r="A13" s="50">
        <v>11</v>
      </c>
      <c r="B13" s="34" t="s">
        <v>262</v>
      </c>
      <c r="C13" s="51" t="s">
        <v>263</v>
      </c>
      <c r="D13" s="52">
        <v>7</v>
      </c>
    </row>
    <row r="14" spans="1:4" ht="15.75" x14ac:dyDescent="0.25">
      <c r="A14" s="50">
        <v>12</v>
      </c>
      <c r="B14" s="34" t="s">
        <v>264</v>
      </c>
      <c r="C14" s="51" t="s">
        <v>261</v>
      </c>
      <c r="D14" s="52">
        <v>4</v>
      </c>
    </row>
    <row r="15" spans="1:4" ht="15.75" x14ac:dyDescent="0.25">
      <c r="A15" s="50">
        <v>13</v>
      </c>
      <c r="B15" s="34" t="s">
        <v>265</v>
      </c>
      <c r="C15" s="51" t="s">
        <v>266</v>
      </c>
      <c r="D15" s="52">
        <v>7</v>
      </c>
    </row>
    <row r="16" spans="1:4" ht="15.75" x14ac:dyDescent="0.25">
      <c r="A16" s="50">
        <v>14</v>
      </c>
      <c r="B16" s="34" t="s">
        <v>267</v>
      </c>
      <c r="C16" s="51" t="s">
        <v>268</v>
      </c>
      <c r="D16" s="52">
        <v>3</v>
      </c>
    </row>
    <row r="17" spans="1:4" ht="15.75" x14ac:dyDescent="0.25">
      <c r="A17" s="50">
        <v>15</v>
      </c>
      <c r="B17" s="34" t="s">
        <v>269</v>
      </c>
      <c r="C17" s="51" t="s">
        <v>270</v>
      </c>
      <c r="D17" s="52">
        <v>7</v>
      </c>
    </row>
    <row r="18" spans="1:4" ht="15.75" x14ac:dyDescent="0.25">
      <c r="A18" s="50">
        <v>16</v>
      </c>
      <c r="B18" s="34" t="s">
        <v>271</v>
      </c>
      <c r="C18" s="51" t="s">
        <v>272</v>
      </c>
      <c r="D18" s="52">
        <v>3</v>
      </c>
    </row>
    <row r="19" spans="1:4" ht="15.75" x14ac:dyDescent="0.25">
      <c r="A19" s="50">
        <v>17</v>
      </c>
      <c r="B19" s="34" t="s">
        <v>273</v>
      </c>
      <c r="C19" s="51" t="s">
        <v>274</v>
      </c>
      <c r="D19" s="52">
        <v>2</v>
      </c>
    </row>
    <row r="20" spans="1:4" ht="15.75" x14ac:dyDescent="0.25">
      <c r="A20" s="50">
        <v>18</v>
      </c>
      <c r="B20" s="34" t="s">
        <v>275</v>
      </c>
      <c r="C20" s="51" t="s">
        <v>276</v>
      </c>
      <c r="D20" s="52">
        <v>7</v>
      </c>
    </row>
    <row r="21" spans="1:4" ht="15.75" x14ac:dyDescent="0.25">
      <c r="A21" s="50">
        <v>19</v>
      </c>
      <c r="B21" s="34" t="s">
        <v>277</v>
      </c>
      <c r="C21" s="51" t="s">
        <v>278</v>
      </c>
      <c r="D21" s="52">
        <v>8</v>
      </c>
    </row>
    <row r="22" spans="1:4" ht="15.75" x14ac:dyDescent="0.25">
      <c r="A22" s="50">
        <v>20</v>
      </c>
      <c r="B22" s="34" t="s">
        <v>312</v>
      </c>
      <c r="C22" s="51" t="s">
        <v>280</v>
      </c>
      <c r="D22" s="52">
        <v>5</v>
      </c>
    </row>
    <row r="23" spans="1:4" ht="15.75" x14ac:dyDescent="0.25">
      <c r="A23" s="50">
        <v>21</v>
      </c>
      <c r="B23" s="34" t="s">
        <v>281</v>
      </c>
      <c r="C23" s="51" t="s">
        <v>282</v>
      </c>
      <c r="D23" s="52">
        <v>5</v>
      </c>
    </row>
    <row r="24" spans="1:4" ht="15.75" x14ac:dyDescent="0.25">
      <c r="A24" s="50">
        <v>22</v>
      </c>
      <c r="B24" s="34" t="s">
        <v>246</v>
      </c>
      <c r="C24" s="51" t="s">
        <v>283</v>
      </c>
      <c r="D24" s="52">
        <v>5</v>
      </c>
    </row>
    <row r="25" spans="1:4" ht="15.75" x14ac:dyDescent="0.25">
      <c r="A25" s="50">
        <v>23</v>
      </c>
      <c r="B25" s="34" t="s">
        <v>279</v>
      </c>
      <c r="C25" s="51" t="s">
        <v>284</v>
      </c>
      <c r="D25" s="52">
        <v>5</v>
      </c>
    </row>
    <row r="26" spans="1:4" ht="15.75" x14ac:dyDescent="0.25">
      <c r="A26" s="50">
        <v>24</v>
      </c>
      <c r="B26" s="34" t="s">
        <v>262</v>
      </c>
      <c r="C26" s="51" t="s">
        <v>285</v>
      </c>
      <c r="D26" s="52">
        <v>7</v>
      </c>
    </row>
    <row r="27" spans="1:4" ht="15.75" x14ac:dyDescent="0.25">
      <c r="A27" s="50">
        <v>25</v>
      </c>
      <c r="B27" s="34" t="s">
        <v>286</v>
      </c>
      <c r="C27" s="51" t="s">
        <v>287</v>
      </c>
      <c r="D27" s="52">
        <v>7</v>
      </c>
    </row>
    <row r="28" spans="1:4" ht="15.75" x14ac:dyDescent="0.25">
      <c r="A28" s="50">
        <v>26</v>
      </c>
      <c r="B28" s="34" t="s">
        <v>288</v>
      </c>
      <c r="C28" s="51" t="s">
        <v>289</v>
      </c>
      <c r="D28" s="52">
        <v>6</v>
      </c>
    </row>
    <row r="29" spans="1:4" ht="15.75" x14ac:dyDescent="0.25">
      <c r="A29" s="50">
        <v>27</v>
      </c>
      <c r="B29" s="34" t="s">
        <v>290</v>
      </c>
      <c r="C29" s="51" t="s">
        <v>289</v>
      </c>
      <c r="D29" s="52">
        <v>6</v>
      </c>
    </row>
    <row r="30" spans="1:4" ht="15.75" x14ac:dyDescent="0.25">
      <c r="A30" s="50">
        <v>28</v>
      </c>
      <c r="B30" s="34" t="s">
        <v>281</v>
      </c>
      <c r="C30" s="51" t="s">
        <v>291</v>
      </c>
      <c r="D30" s="52">
        <v>5</v>
      </c>
    </row>
    <row r="31" spans="1:4" ht="15.75" x14ac:dyDescent="0.25">
      <c r="A31" s="53">
        <v>29</v>
      </c>
      <c r="B31" s="54" t="s">
        <v>292</v>
      </c>
      <c r="C31" s="55" t="s">
        <v>266</v>
      </c>
      <c r="D31" s="56">
        <v>7</v>
      </c>
    </row>
    <row r="32" spans="1:4" ht="15.75" x14ac:dyDescent="0.25">
      <c r="A32" s="50">
        <v>30</v>
      </c>
      <c r="B32" s="34" t="s">
        <v>293</v>
      </c>
      <c r="C32" s="51" t="s">
        <v>289</v>
      </c>
      <c r="D32" s="52">
        <v>5</v>
      </c>
    </row>
    <row r="33" spans="1:4" ht="15.75" x14ac:dyDescent="0.25">
      <c r="A33" s="50">
        <v>31</v>
      </c>
      <c r="B33" s="34" t="s">
        <v>269</v>
      </c>
      <c r="C33" s="51" t="s">
        <v>294</v>
      </c>
      <c r="D33" s="52">
        <v>7</v>
      </c>
    </row>
    <row r="34" spans="1:4" ht="15.75" x14ac:dyDescent="0.25">
      <c r="A34" s="50">
        <v>32</v>
      </c>
      <c r="B34" s="34" t="s">
        <v>295</v>
      </c>
      <c r="C34" s="51" t="s">
        <v>296</v>
      </c>
      <c r="D34" s="52">
        <v>4</v>
      </c>
    </row>
    <row r="35" spans="1:4" ht="15.75" x14ac:dyDescent="0.25">
      <c r="A35" s="50">
        <v>33</v>
      </c>
      <c r="B35" s="34" t="s">
        <v>297</v>
      </c>
      <c r="C35" s="51" t="s">
        <v>298</v>
      </c>
      <c r="D35" s="52">
        <v>6</v>
      </c>
    </row>
    <row r="36" spans="1:4" ht="15.75" x14ac:dyDescent="0.25">
      <c r="A36" s="50">
        <v>34</v>
      </c>
      <c r="B36" s="34" t="s">
        <v>297</v>
      </c>
      <c r="C36" s="51" t="s">
        <v>299</v>
      </c>
      <c r="D36" s="52">
        <v>6</v>
      </c>
    </row>
    <row r="37" spans="1:4" ht="15.75" x14ac:dyDescent="0.25">
      <c r="A37" s="50">
        <v>35</v>
      </c>
      <c r="B37" s="34" t="s">
        <v>297</v>
      </c>
      <c r="C37" s="51" t="s">
        <v>300</v>
      </c>
      <c r="D37" s="52">
        <v>6</v>
      </c>
    </row>
    <row r="38" spans="1:4" ht="15.75" x14ac:dyDescent="0.25">
      <c r="A38" s="50">
        <v>36</v>
      </c>
      <c r="B38" s="34" t="s">
        <v>301</v>
      </c>
      <c r="C38" s="51" t="s">
        <v>302</v>
      </c>
      <c r="D38" s="52">
        <v>5</v>
      </c>
    </row>
    <row r="39" spans="1:4" ht="15.75" x14ac:dyDescent="0.25">
      <c r="A39" s="50">
        <v>37</v>
      </c>
      <c r="B39" s="34" t="s">
        <v>301</v>
      </c>
      <c r="C39" s="51" t="s">
        <v>303</v>
      </c>
      <c r="D39" s="52">
        <v>5</v>
      </c>
    </row>
    <row r="40" spans="1:4" ht="15.75" x14ac:dyDescent="0.25">
      <c r="A40" s="53">
        <v>38</v>
      </c>
      <c r="B40" s="54" t="s">
        <v>304</v>
      </c>
      <c r="C40" s="55" t="s">
        <v>276</v>
      </c>
      <c r="D40" s="56">
        <v>7</v>
      </c>
    </row>
    <row r="41" spans="1:4" ht="15.75" x14ac:dyDescent="0.25">
      <c r="A41" s="50">
        <v>39</v>
      </c>
      <c r="B41" s="34" t="s">
        <v>305</v>
      </c>
      <c r="C41" s="51"/>
      <c r="D41" s="52">
        <v>3</v>
      </c>
    </row>
    <row r="42" spans="1:4" ht="15.75" x14ac:dyDescent="0.25">
      <c r="A42" s="50">
        <v>40</v>
      </c>
      <c r="B42" s="34" t="s">
        <v>306</v>
      </c>
      <c r="C42" s="51" t="s">
        <v>307</v>
      </c>
      <c r="D42" s="52">
        <v>2</v>
      </c>
    </row>
    <row r="43" spans="1:4" ht="15.75" x14ac:dyDescent="0.25">
      <c r="A43" s="50">
        <v>41</v>
      </c>
      <c r="B43" s="34" t="s">
        <v>308</v>
      </c>
      <c r="C43" s="51" t="s">
        <v>289</v>
      </c>
      <c r="D43" s="52">
        <v>5</v>
      </c>
    </row>
    <row r="44" spans="1:4" ht="15.75" x14ac:dyDescent="0.25">
      <c r="A44" s="50">
        <v>42</v>
      </c>
      <c r="B44" s="34" t="s">
        <v>309</v>
      </c>
      <c r="C44" s="51" t="s">
        <v>310</v>
      </c>
      <c r="D44" s="57">
        <v>2</v>
      </c>
    </row>
    <row r="45" spans="1:4" ht="15.75" x14ac:dyDescent="0.25">
      <c r="A45" s="58">
        <v>43</v>
      </c>
      <c r="B45" s="34" t="s">
        <v>313</v>
      </c>
      <c r="C45" s="51" t="s">
        <v>314</v>
      </c>
      <c r="D45" s="57">
        <v>5</v>
      </c>
    </row>
    <row r="46" spans="1:4" ht="15.75" x14ac:dyDescent="0.25">
      <c r="A46" s="61">
        <v>44</v>
      </c>
      <c r="B46" s="62" t="s">
        <v>315</v>
      </c>
      <c r="C46" t="s">
        <v>316</v>
      </c>
      <c r="D46" s="63">
        <v>5</v>
      </c>
    </row>
    <row r="47" spans="1:4" ht="15.75" x14ac:dyDescent="0.25">
      <c r="A47" s="61">
        <v>45</v>
      </c>
      <c r="B47" s="62" t="s">
        <v>317</v>
      </c>
      <c r="C47" s="64" t="s">
        <v>318</v>
      </c>
      <c r="D47" s="63">
        <v>5</v>
      </c>
    </row>
    <row r="48" spans="1:4" ht="15.75" x14ac:dyDescent="0.25">
      <c r="A48" s="61">
        <v>46</v>
      </c>
      <c r="B48" s="62" t="s">
        <v>319</v>
      </c>
      <c r="C48" s="64" t="s">
        <v>320</v>
      </c>
      <c r="D48" s="63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STOCK</vt:lpstr>
      <vt:lpstr>PRODUCTS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2025-11-03T05:01:28Z</dcterms:created>
  <dcterms:modified xsi:type="dcterms:W3CDTF">2025-11-11T05:05:18Z</dcterms:modified>
</cp:coreProperties>
</file>