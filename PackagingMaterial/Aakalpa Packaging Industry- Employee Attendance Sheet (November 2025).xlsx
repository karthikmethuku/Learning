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ODOO\Aakalpa Attendance\"/>
    </mc:Choice>
  </mc:AlternateContent>
  <bookViews>
    <workbookView xWindow="0" yWindow="0" windowWidth="20490" windowHeight="7755" activeTab="1"/>
  </bookViews>
  <sheets>
    <sheet name="ATTENDANCE" sheetId="1" r:id="rId1"/>
    <sheet name="STOCK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48576" i="2" l="1"/>
  <c r="AJ20" i="1" l="1"/>
  <c r="AI20" i="1"/>
  <c r="AH20" i="1"/>
  <c r="AJ4" i="1" l="1"/>
  <c r="AJ19" i="1"/>
  <c r="AI19" i="1"/>
  <c r="AH19" i="1"/>
  <c r="AH4" i="1" l="1"/>
  <c r="AJ18" i="1" l="1"/>
  <c r="AI18" i="1"/>
  <c r="AH18" i="1"/>
  <c r="AJ5" i="1" l="1"/>
  <c r="AJ6" i="1"/>
  <c r="AJ7" i="1"/>
  <c r="AJ8" i="1"/>
  <c r="AJ9" i="1"/>
  <c r="AJ10" i="1"/>
  <c r="AJ11" i="1"/>
  <c r="AJ12" i="1"/>
  <c r="AJ13" i="1"/>
  <c r="AJ14" i="1"/>
  <c r="AJ15" i="1"/>
  <c r="AJ16" i="1"/>
  <c r="AJ17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I4" i="1"/>
</calcChain>
</file>

<file path=xl/sharedStrings.xml><?xml version="1.0" encoding="utf-8"?>
<sst xmlns="http://schemas.openxmlformats.org/spreadsheetml/2006/main" count="744" uniqueCount="243">
  <si>
    <t>S.No</t>
  </si>
  <si>
    <t>Name</t>
  </si>
  <si>
    <t>Role</t>
  </si>
  <si>
    <t>Date</t>
  </si>
  <si>
    <t>Naveen Babu</t>
  </si>
  <si>
    <t>Production Incharge</t>
  </si>
  <si>
    <t>Dinesh Kumar</t>
  </si>
  <si>
    <t>Production Assistant</t>
  </si>
  <si>
    <t>Srinivasan Kannayyan</t>
  </si>
  <si>
    <t>Yuona Naidu</t>
  </si>
  <si>
    <t>Printing Assistant</t>
  </si>
  <si>
    <t>Alekya</t>
  </si>
  <si>
    <t>Ashok Yadav</t>
  </si>
  <si>
    <t>Slitting Operator</t>
  </si>
  <si>
    <t>Rajesh</t>
  </si>
  <si>
    <t>A.Venkataswamy</t>
  </si>
  <si>
    <t>Mahesh</t>
  </si>
  <si>
    <t>Pouching Operator</t>
  </si>
  <si>
    <t>P.Shanmukha</t>
  </si>
  <si>
    <t>Jaswant Kumar</t>
  </si>
  <si>
    <t>Mariyamma</t>
  </si>
  <si>
    <t>P</t>
  </si>
  <si>
    <t>Holiday</t>
  </si>
  <si>
    <t>Devarajan Adhinarayan</t>
  </si>
  <si>
    <t>Aakalpa Packaging Industry- Employee Attendance Sheet (November 2025)</t>
  </si>
  <si>
    <t>Venkat Rao</t>
  </si>
  <si>
    <t>Total Present</t>
  </si>
  <si>
    <t>Total Absent</t>
  </si>
  <si>
    <t>Attendance %</t>
  </si>
  <si>
    <t>Chandan Das</t>
  </si>
  <si>
    <t>Roto-Printing Operator</t>
  </si>
  <si>
    <t>A</t>
  </si>
  <si>
    <t>Anil Pelluri</t>
  </si>
  <si>
    <t>hyd</t>
  </si>
  <si>
    <t>Vijay Shankar</t>
  </si>
  <si>
    <t>Adhesive-NCO</t>
  </si>
  <si>
    <t>Item</t>
  </si>
  <si>
    <t>Adhesive</t>
  </si>
  <si>
    <t>Adhesive-OH</t>
  </si>
  <si>
    <t>LocTite CAC 1500A 5KG</t>
  </si>
  <si>
    <t>LocTite CAC 2511 25 KG</t>
  </si>
  <si>
    <t>Ethyl Acetate</t>
  </si>
  <si>
    <t>Chemical</t>
  </si>
  <si>
    <t>Toluene</t>
  </si>
  <si>
    <t>MIBK</t>
  </si>
  <si>
    <t>INK-PET-GRVR-MDM</t>
  </si>
  <si>
    <t>Inks-PET</t>
  </si>
  <si>
    <t>INK-PET-GRVR-BLK</t>
  </si>
  <si>
    <t>INK-PET-GRVR-CYN</t>
  </si>
  <si>
    <t>INK-PET-GRVR-GRN</t>
  </si>
  <si>
    <t>INK-PET-GRVR-MGNT</t>
  </si>
  <si>
    <t>INK-PET-GRVR-ORG</t>
  </si>
  <si>
    <t>INK-PET-GRVR-RED</t>
  </si>
  <si>
    <t>INK-PET-GRVR-SBLU</t>
  </si>
  <si>
    <t>INK-PET-GRVR-SCYN</t>
  </si>
  <si>
    <t>INK-PET-GRVR-SLCYN</t>
  </si>
  <si>
    <t>INK-PET-GRVR-SMGNT</t>
  </si>
  <si>
    <t>INK-PET-GRVR-SPL-BLU</t>
  </si>
  <si>
    <t>INK-PET-GRVR-SPL-GRN -P355</t>
  </si>
  <si>
    <t>INK-PET-GRVR-SPL-LBRWN</t>
  </si>
  <si>
    <t>INK-PET-GRVR-SPL-LGRN</t>
  </si>
  <si>
    <t>INK-PET-GRVR-SPL-YLW</t>
  </si>
  <si>
    <t>INK-PET-GRVR-SPNK</t>
  </si>
  <si>
    <t>INK-PET-GRVR-WHT</t>
  </si>
  <si>
    <t>INK-PET-GRVR-YLW</t>
  </si>
  <si>
    <t>INK-PET-GRVR-VLT</t>
  </si>
  <si>
    <t>INK-PET-GRVR-PRPL</t>
  </si>
  <si>
    <t>INK-PET-GRVR-GLD</t>
  </si>
  <si>
    <t>INK-BoPP-GRVR-MDM</t>
  </si>
  <si>
    <t>Inks-BoPP</t>
  </si>
  <si>
    <t>INK-BoPP-GRVR-BLK</t>
  </si>
  <si>
    <t>INK-BoPP-GRVR-CYN</t>
  </si>
  <si>
    <t>INK-BoPP-GRVR-GRN</t>
  </si>
  <si>
    <t>INK-BoPP-GRVR-MGNT</t>
  </si>
  <si>
    <t>INK-BoPP-GRVR-ORG</t>
  </si>
  <si>
    <t>INK-BoPP-GRVR-RED</t>
  </si>
  <si>
    <t>INK-BoPP-GRVR-SBLU</t>
  </si>
  <si>
    <t>INK-BoPP-GRVR-SCYN</t>
  </si>
  <si>
    <t>INK-BoPP-GRVR-SLCYN</t>
  </si>
  <si>
    <t>INK-BoPP-GRVR-SMGNT</t>
  </si>
  <si>
    <t>INK-BoPP-GRVR-SPL-BLU</t>
  </si>
  <si>
    <t>INK-BoPP-GRVR-SPL-GRN</t>
  </si>
  <si>
    <t>INK-BoPP-GRVR-SPL-BRWN</t>
  </si>
  <si>
    <t>INK-BoPP-GRVR-SPL-LBRWN</t>
  </si>
  <si>
    <t>INK-BoPP-GRVR-SPL-LGRN</t>
  </si>
  <si>
    <t>INK-BoPP-GRVR-SPL-YLW</t>
  </si>
  <si>
    <t>INK-BoPP-GRVR-SPNK</t>
  </si>
  <si>
    <t>INK-BoPP-GRVR-WHT</t>
  </si>
  <si>
    <t>INK-BoPP-GRVR-PSTGLD</t>
  </si>
  <si>
    <t>INK-BoPP-GRVR-LQGLD</t>
  </si>
  <si>
    <t>INK-BoPP-GRVR-GYLW</t>
  </si>
  <si>
    <t>INK-BoPP-GRVR-YLW</t>
  </si>
  <si>
    <t>INK-BoPP-GRVR-VLT</t>
  </si>
  <si>
    <t>INK-BoPP-GRVR-PRPL</t>
  </si>
  <si>
    <t>INK-BoPP-GRVR-ADDTV</t>
  </si>
  <si>
    <t>Flexo Inks</t>
  </si>
  <si>
    <t>Inks-Flexo</t>
  </si>
  <si>
    <t>Meganta</t>
  </si>
  <si>
    <t>LDPE</t>
  </si>
  <si>
    <t>LDPE-NTRL-120-1015MM</t>
  </si>
  <si>
    <t>LDPE-NTRL-120-865MM</t>
  </si>
  <si>
    <t>LDPE-NTRL-120-860MM</t>
  </si>
  <si>
    <t>LDPE-NTRL-100-695MM</t>
  </si>
  <si>
    <t>LDPE-NTRL-110-695MM</t>
  </si>
  <si>
    <t>LDPE-NTRL-100-680MM</t>
  </si>
  <si>
    <t>LDPE-NTRL-100-655MM</t>
  </si>
  <si>
    <t>LDPE-NTRL-100-580MM</t>
  </si>
  <si>
    <t>LDPE-NTRL-100-540MM</t>
  </si>
  <si>
    <t>LDPE-NTRL-80-540MM</t>
  </si>
  <si>
    <t>LDPE-NTRL-40-540MM</t>
  </si>
  <si>
    <t>LDPE-NTRL-35-540MM</t>
  </si>
  <si>
    <t>LDPE-NTRL-50-440MM</t>
  </si>
  <si>
    <t>LDPE-NTRL-60-415MM</t>
  </si>
  <si>
    <t>LDPE-NTRL-50-400MM</t>
  </si>
  <si>
    <t>LDPE-NTRL-60-365MM</t>
  </si>
  <si>
    <t>LDPE-OPQW-60-915MM</t>
  </si>
  <si>
    <t>LDPE-OPQW-100-900MM</t>
  </si>
  <si>
    <t>LDPE-OPQW-100-895MM</t>
  </si>
  <si>
    <t>LDPE-OPQW-110-780MM</t>
  </si>
  <si>
    <t>LDPE-OPQW-100-780MM</t>
  </si>
  <si>
    <t>LDPE-OPQW-100-775MM</t>
  </si>
  <si>
    <t>LDPE-OPQW-120-745MM</t>
  </si>
  <si>
    <t>LDPE-OPQW-100-460MM</t>
  </si>
  <si>
    <t>LDPE-OPQW-100-480MM</t>
  </si>
  <si>
    <t>LDPE-TR-60-915MM</t>
  </si>
  <si>
    <t>METPET-STD-12-950MM</t>
  </si>
  <si>
    <t>MeT-PET</t>
  </si>
  <si>
    <t>METPET-STD-12-910MM</t>
  </si>
  <si>
    <t>METPET-STD-12-860MM</t>
  </si>
  <si>
    <t>METPET-STD-12-700MM</t>
  </si>
  <si>
    <t>METPET-STD-12-690MM</t>
  </si>
  <si>
    <t>METPET-STD-12-650MM</t>
  </si>
  <si>
    <t>METPET-STD-12-575MM</t>
  </si>
  <si>
    <t>METPET-STD-12-535MM</t>
  </si>
  <si>
    <t>PET-STD-12-1010MM</t>
  </si>
  <si>
    <t>PET</t>
  </si>
  <si>
    <t>PET-STD-12-930MM</t>
  </si>
  <si>
    <t>PET-STD-12-910MM</t>
  </si>
  <si>
    <t>PET-STD-12-890MM</t>
  </si>
  <si>
    <t>PET-CRNA-12-890MM</t>
  </si>
  <si>
    <t>PET-STD-12-870MM</t>
  </si>
  <si>
    <t>PET-STD-12-860MM</t>
  </si>
  <si>
    <t>PET-STD-12-850MM</t>
  </si>
  <si>
    <t>PET-STD-12-770MM</t>
  </si>
  <si>
    <t>PET-STD-12-680MM</t>
  </si>
  <si>
    <t>PET-STD-12-690MM</t>
  </si>
  <si>
    <t>PET-STD-12-650MM</t>
  </si>
  <si>
    <t>PET-STD-12-535MM</t>
  </si>
  <si>
    <t>PP-STD-15-20-WN-FBRC</t>
  </si>
  <si>
    <t>Woven Fabric</t>
  </si>
  <si>
    <t>Bopp - Matt-15-910MM</t>
  </si>
  <si>
    <t>BoPP</t>
  </si>
  <si>
    <t>BoPP-MAT-15-1000MM</t>
  </si>
  <si>
    <t>BoPP-MAT-15-1040MM</t>
  </si>
  <si>
    <t>BoPP-MAT-15-1050MM</t>
  </si>
  <si>
    <t>BoPP-MAT-15-690MM</t>
  </si>
  <si>
    <t>BoPP-MAT-15-700MM</t>
  </si>
  <si>
    <t>BoPP-MAT-15-800MM</t>
  </si>
  <si>
    <t>BoPP-MAT-15-860MM</t>
  </si>
  <si>
    <t>BoPP-MAT-15-875MM</t>
  </si>
  <si>
    <t>BoPP-MAT-15-890MM</t>
  </si>
  <si>
    <t>BoPP-MAT-15-950MM</t>
  </si>
  <si>
    <t>Bopp-MAT-15-810mm</t>
  </si>
  <si>
    <t>item</t>
  </si>
  <si>
    <t>BoPP-TR-15-1000MM</t>
  </si>
  <si>
    <t>BoPP-TR-15-1040MM</t>
  </si>
  <si>
    <t>BoPP-TR-15-1050MM</t>
  </si>
  <si>
    <t>BOPP-MAT-15-1140</t>
  </si>
  <si>
    <t>BOPP-MAT-935MM</t>
  </si>
  <si>
    <t>BoPP-TR-15-785MM</t>
  </si>
  <si>
    <t>BoPP-TR-15-800MM</t>
  </si>
  <si>
    <t>BoPP-MET-15-810MM</t>
  </si>
  <si>
    <t>MeT-BoPP</t>
  </si>
  <si>
    <t>BoPP-MET-15-800MM</t>
  </si>
  <si>
    <t>BoPP-MET-15-730MM</t>
  </si>
  <si>
    <t>Semi Finished Goods-Pouches</t>
  </si>
  <si>
    <t>Pouches</t>
  </si>
  <si>
    <t>Semi Finished Goods-METRT10Kg</t>
  </si>
  <si>
    <t>METRooT</t>
  </si>
  <si>
    <t>Semi Finished Goods-METRT50kg</t>
  </si>
  <si>
    <t>Semi Finished Goods-SLPHMX10kg</t>
  </si>
  <si>
    <t>SLPHMX</t>
  </si>
  <si>
    <t>Semi Finished Goods-SLPHMX50kg</t>
  </si>
  <si>
    <t>Woven Fabric - 24in</t>
  </si>
  <si>
    <t>Woven Fabric - 15in</t>
  </si>
  <si>
    <t>Butnol</t>
  </si>
  <si>
    <t>Carton Boxes</t>
  </si>
  <si>
    <t>Carton Box</t>
  </si>
  <si>
    <t>BoPP-TR-15-510MM</t>
  </si>
  <si>
    <t>BoPP-MAT-15-1055</t>
  </si>
  <si>
    <t>bopp-matt-15-1135</t>
  </si>
  <si>
    <t>BoPP-TR-15-1055</t>
  </si>
  <si>
    <t>Bopp-TR-15-640MM</t>
  </si>
  <si>
    <t>BoPP-TR-15-900MM</t>
  </si>
  <si>
    <t>BoPP-TR-15-720MM</t>
  </si>
  <si>
    <t>BoPP-TR-15-860MM</t>
  </si>
  <si>
    <t>BOPP-TR-15-1060</t>
  </si>
  <si>
    <t>Stock Name</t>
  </si>
  <si>
    <t>Stock 
Type</t>
  </si>
  <si>
    <t>Material 
Type</t>
  </si>
  <si>
    <t>Nov 10 25 Stock</t>
  </si>
  <si>
    <t>49kgs</t>
  </si>
  <si>
    <t>50kgs</t>
  </si>
  <si>
    <t>12400kgs</t>
  </si>
  <si>
    <t>1295kgs</t>
  </si>
  <si>
    <t>133kgs</t>
  </si>
  <si>
    <t>200kgs</t>
  </si>
  <si>
    <t>280kgs</t>
  </si>
  <si>
    <t>340kgs</t>
  </si>
  <si>
    <t>860kgs</t>
  </si>
  <si>
    <t>40kgs</t>
  </si>
  <si>
    <t>1000kgs</t>
  </si>
  <si>
    <t>500kgs</t>
  </si>
  <si>
    <t>160kgs</t>
  </si>
  <si>
    <t>420kgs</t>
  </si>
  <si>
    <t>600kgs</t>
  </si>
  <si>
    <t>180kgs</t>
  </si>
  <si>
    <t>1408kgs</t>
  </si>
  <si>
    <t>1060kgs</t>
  </si>
  <si>
    <t>140kgs</t>
  </si>
  <si>
    <t>20kgs</t>
  </si>
  <si>
    <t>447kgs</t>
  </si>
  <si>
    <t>LDPE-NTRL-100-515MM</t>
  </si>
  <si>
    <t>130kgs</t>
  </si>
  <si>
    <t>LDPE-NTRL-100-1030MM</t>
  </si>
  <si>
    <t>215kgs</t>
  </si>
  <si>
    <t>LDPE-NTRL-100-855MM</t>
  </si>
  <si>
    <t>100kgs</t>
  </si>
  <si>
    <t>74.5kgs</t>
  </si>
  <si>
    <t>299.6kgs</t>
  </si>
  <si>
    <t>822.97kgs</t>
  </si>
  <si>
    <t>275.90kgs</t>
  </si>
  <si>
    <t>490.85kgs</t>
  </si>
  <si>
    <t>BOPP-TR-15-835MM</t>
  </si>
  <si>
    <t>682.75kgs</t>
  </si>
  <si>
    <t>140.40kgs</t>
  </si>
  <si>
    <t>344.95kgs</t>
  </si>
  <si>
    <t>357.7kgs</t>
  </si>
  <si>
    <t>443.8kgs</t>
  </si>
  <si>
    <t>304.73kgs</t>
  </si>
  <si>
    <t>274.20kgs</t>
  </si>
  <si>
    <t>57.8kgs</t>
  </si>
  <si>
    <t>468kgs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</si>
</sst>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5" formatCode="_(* #,##0_);_(* \(#,##0\);_(* &quot;-&quot;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color theme="8" tint="0.39997558519241921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sz val="12"/>
      <color theme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5" fontId="5" fillId="2" borderId="1" xfId="1" applyNumberFormat="1" applyFont="1" applyFill="1" applyBorder="1"/>
    <xf numFmtId="0" fontId="2" fillId="2" borderId="1" xfId="0" applyFont="1" applyFill="1" applyBorder="1"/>
    <xf numFmtId="0" fontId="7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8" fillId="2" borderId="1" xfId="0" applyFont="1" applyFill="1" applyBorder="1"/>
    <xf numFmtId="0" fontId="6" fillId="0" borderId="3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0" xfId="0" applyFill="1"/>
    <xf numFmtId="165" fontId="5" fillId="0" borderId="0" xfId="1" applyNumberFormat="1" applyFont="1" applyBorder="1"/>
    <xf numFmtId="0" fontId="8" fillId="0" borderId="4" xfId="0" applyFont="1" applyBorder="1"/>
    <xf numFmtId="0" fontId="0" fillId="0" borderId="4" xfId="0" applyBorder="1"/>
    <xf numFmtId="0" fontId="0" fillId="0" borderId="4" xfId="0" applyBorder="1" applyAlignment="1">
      <alignment horizontal="center"/>
    </xf>
    <xf numFmtId="0" fontId="6" fillId="0" borderId="2" xfId="0" applyFont="1" applyFill="1" applyBorder="1" applyAlignment="1">
      <alignment horizontal="center" vertical="center" wrapText="1"/>
    </xf>
    <xf numFmtId="0" fontId="8" fillId="0" borderId="6" xfId="0" applyFont="1" applyFill="1" applyBorder="1"/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165" fontId="5" fillId="2" borderId="5" xfId="1" applyNumberFormat="1" applyFont="1" applyFill="1" applyBorder="1"/>
  </cellXfs>
  <cellStyles count="2">
    <cellStyle name="Comma" xfId="1" builtinId="3"/>
    <cellStyle name="Normal" xfId="0" builtinId="0"/>
  </cellStyles>
  <dxfs count="8">
    <dxf>
      <font>
        <b val="0"/>
        <i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9" tint="0.39997558519241921"/>
        <name val="Calibri"/>
        <scheme val="minor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D152" totalsRowShown="0" headerRowDxfId="7" headerRowBorderDxfId="5" tableBorderDxfId="6" totalsRowBorderDxfId="4">
  <autoFilter ref="A1:D152"/>
  <sortState ref="A2:E38">
    <sortCondition ref="A1:A149"/>
  </sortState>
  <tableColumns count="4">
    <tableColumn id="1" name="Stock Name" dataDxfId="3"/>
    <tableColumn id="2" name="Stock _x000a_Type" dataDxfId="2"/>
    <tableColumn id="3" name="Material _x000a_Type" dataDxfId="1"/>
    <tableColumn id="4" name="Nov 10 25 Stock" dataDxfId="0" dataCellStyle="Comm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2"/>
  <sheetViews>
    <sheetView zoomScaleNormal="100" workbookViewId="0">
      <selection activeCell="H19" sqref="H19"/>
    </sheetView>
  </sheetViews>
  <sheetFormatPr defaultRowHeight="15" x14ac:dyDescent="0.25"/>
  <cols>
    <col min="2" max="2" width="27.5703125" customWidth="1"/>
    <col min="3" max="3" width="25.28515625" customWidth="1"/>
    <col min="4" max="4" width="12.140625" customWidth="1"/>
    <col min="5" max="5" width="11.42578125" customWidth="1"/>
    <col min="6" max="8" width="10.42578125" bestFit="1" customWidth="1"/>
    <col min="9" max="9" width="11.7109375" customWidth="1"/>
    <col min="10" max="10" width="12.42578125" customWidth="1"/>
    <col min="11" max="11" width="10.28515625" customWidth="1"/>
    <col min="12" max="12" width="10.5703125" customWidth="1"/>
    <col min="13" max="24" width="10.7109375" customWidth="1"/>
    <col min="25" max="32" width="12" style="7" customWidth="1"/>
    <col min="33" max="33" width="10.28515625" customWidth="1"/>
    <col min="34" max="34" width="14.28515625" customWidth="1"/>
    <col min="35" max="35" width="12.7109375" customWidth="1"/>
    <col min="36" max="36" width="14.140625" customWidth="1"/>
  </cols>
  <sheetData>
    <row r="1" spans="1:36" x14ac:dyDescent="0.25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</row>
    <row r="2" spans="1:36" x14ac:dyDescent="0.25">
      <c r="A2" s="6" t="s">
        <v>0</v>
      </c>
      <c r="B2" s="6" t="s">
        <v>1</v>
      </c>
      <c r="C2" s="6" t="s">
        <v>2</v>
      </c>
      <c r="D2" s="17" t="s">
        <v>3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6"/>
    </row>
    <row r="3" spans="1:36" x14ac:dyDescent="0.25">
      <c r="D3" s="2">
        <v>45962</v>
      </c>
      <c r="E3" s="2">
        <v>45963</v>
      </c>
      <c r="F3" s="2">
        <v>45964</v>
      </c>
      <c r="G3" s="2">
        <v>45965</v>
      </c>
      <c r="H3" s="2">
        <v>45966</v>
      </c>
      <c r="I3" s="2">
        <v>45967</v>
      </c>
      <c r="J3" s="2">
        <v>45968</v>
      </c>
      <c r="K3" s="2">
        <v>45969</v>
      </c>
      <c r="L3" s="2">
        <v>45970</v>
      </c>
      <c r="M3" s="2">
        <v>45971</v>
      </c>
      <c r="N3" s="2">
        <v>45972</v>
      </c>
      <c r="O3" s="2">
        <v>45973</v>
      </c>
      <c r="P3" s="2">
        <v>45974</v>
      </c>
      <c r="Q3" s="2">
        <v>45975</v>
      </c>
      <c r="R3" s="2">
        <v>45976</v>
      </c>
      <c r="S3" s="2">
        <v>45977</v>
      </c>
      <c r="T3" s="2">
        <v>45978</v>
      </c>
      <c r="U3" s="2">
        <v>45979</v>
      </c>
      <c r="V3" s="2">
        <v>45980</v>
      </c>
      <c r="W3" s="2">
        <v>45981</v>
      </c>
      <c r="X3" s="2">
        <v>45982</v>
      </c>
      <c r="Y3" s="2">
        <v>45983</v>
      </c>
      <c r="Z3" s="2">
        <v>45984</v>
      </c>
      <c r="AA3" s="2">
        <v>45985</v>
      </c>
      <c r="AB3" s="2">
        <v>45986</v>
      </c>
      <c r="AC3" s="2">
        <v>45987</v>
      </c>
      <c r="AD3" s="2">
        <v>45988</v>
      </c>
      <c r="AE3" s="2">
        <v>45989</v>
      </c>
      <c r="AF3" s="2">
        <v>45990</v>
      </c>
      <c r="AG3" s="2">
        <v>45991</v>
      </c>
      <c r="AH3" s="6" t="s">
        <v>26</v>
      </c>
      <c r="AI3" s="6" t="s">
        <v>27</v>
      </c>
      <c r="AJ3" s="6" t="s">
        <v>28</v>
      </c>
    </row>
    <row r="4" spans="1:36" x14ac:dyDescent="0.25">
      <c r="A4" s="1">
        <v>1</v>
      </c>
      <c r="B4" s="7" t="s">
        <v>4</v>
      </c>
      <c r="C4" s="7" t="s">
        <v>5</v>
      </c>
      <c r="D4" s="3" t="s">
        <v>21</v>
      </c>
      <c r="E4" s="3" t="s">
        <v>22</v>
      </c>
      <c r="F4" s="7" t="s">
        <v>21</v>
      </c>
      <c r="G4" s="7" t="s">
        <v>21</v>
      </c>
      <c r="H4" s="7" t="s">
        <v>21</v>
      </c>
      <c r="I4" s="7" t="s">
        <v>21</v>
      </c>
      <c r="J4" s="7" t="s">
        <v>21</v>
      </c>
      <c r="K4" s="12" t="s">
        <v>21</v>
      </c>
      <c r="L4" s="7" t="s">
        <v>22</v>
      </c>
      <c r="M4" s="14" t="s">
        <v>21</v>
      </c>
      <c r="S4" s="7" t="s">
        <v>22</v>
      </c>
      <c r="Z4" s="7" t="s">
        <v>22</v>
      </c>
      <c r="AG4" s="7" t="s">
        <v>22</v>
      </c>
      <c r="AH4">
        <f>COUNTIF(D4:AG4,"P")</f>
        <v>8</v>
      </c>
      <c r="AI4">
        <f>COUNTIF(D4:AG4,"A")</f>
        <v>0</v>
      </c>
      <c r="AJ4" s="8" t="e">
        <f>COUNTIF(D4:AG4,"P") / (COUNT(D4:AG4,"A")) * 100</f>
        <v>#DIV/0!</v>
      </c>
    </row>
    <row r="5" spans="1:36" x14ac:dyDescent="0.25">
      <c r="A5" s="1">
        <v>2</v>
      </c>
      <c r="B5" s="7" t="s">
        <v>6</v>
      </c>
      <c r="C5" s="7" t="s">
        <v>7</v>
      </c>
      <c r="D5" s="3" t="s">
        <v>21</v>
      </c>
      <c r="E5" s="3" t="s">
        <v>22</v>
      </c>
      <c r="F5" s="7" t="s">
        <v>21</v>
      </c>
      <c r="G5" s="7" t="s">
        <v>21</v>
      </c>
      <c r="H5" s="7" t="s">
        <v>21</v>
      </c>
      <c r="I5" s="12" t="s">
        <v>21</v>
      </c>
      <c r="J5" s="12" t="s">
        <v>21</v>
      </c>
      <c r="K5" s="13" t="s">
        <v>21</v>
      </c>
      <c r="L5" s="7" t="s">
        <v>22</v>
      </c>
      <c r="M5" s="14" t="s">
        <v>21</v>
      </c>
      <c r="S5" s="7" t="s">
        <v>22</v>
      </c>
      <c r="Z5" s="7" t="s">
        <v>22</v>
      </c>
      <c r="AG5" s="7" t="s">
        <v>22</v>
      </c>
      <c r="AH5">
        <f t="shared" ref="AH5:AH20" si="0">COUNTIF(D5:AG5,"P")</f>
        <v>8</v>
      </c>
      <c r="AI5">
        <f t="shared" ref="AI5:AI20" si="1">COUNTIF(D5:AG5,"A")</f>
        <v>0</v>
      </c>
      <c r="AJ5" s="8" t="e">
        <f t="shared" ref="AJ5:AJ20" si="2">COUNTIF(D5:AG5,"P") / (COUNT(D5:AG5,"A")) * 100</f>
        <v>#DIV/0!</v>
      </c>
    </row>
    <row r="6" spans="1:36" x14ac:dyDescent="0.25">
      <c r="A6" s="1">
        <v>3</v>
      </c>
      <c r="B6" s="7" t="s">
        <v>8</v>
      </c>
      <c r="C6" s="7" t="s">
        <v>7</v>
      </c>
      <c r="D6" s="3" t="s">
        <v>21</v>
      </c>
      <c r="E6" s="3" t="s">
        <v>22</v>
      </c>
      <c r="F6" s="7" t="s">
        <v>21</v>
      </c>
      <c r="G6" s="7" t="s">
        <v>21</v>
      </c>
      <c r="H6" s="7" t="s">
        <v>21</v>
      </c>
      <c r="I6" s="12" t="s">
        <v>21</v>
      </c>
      <c r="J6" s="12" t="s">
        <v>21</v>
      </c>
      <c r="K6" s="13" t="s">
        <v>21</v>
      </c>
      <c r="L6" s="7" t="s">
        <v>22</v>
      </c>
      <c r="M6" s="14" t="s">
        <v>21</v>
      </c>
      <c r="S6" s="7" t="s">
        <v>22</v>
      </c>
      <c r="Z6" s="7" t="s">
        <v>22</v>
      </c>
      <c r="AG6" s="7" t="s">
        <v>22</v>
      </c>
      <c r="AH6">
        <f t="shared" si="0"/>
        <v>8</v>
      </c>
      <c r="AI6">
        <f t="shared" si="1"/>
        <v>0</v>
      </c>
      <c r="AJ6" s="8" t="e">
        <f t="shared" si="2"/>
        <v>#DIV/0!</v>
      </c>
    </row>
    <row r="7" spans="1:36" x14ac:dyDescent="0.25">
      <c r="A7" s="1">
        <v>4</v>
      </c>
      <c r="B7" s="7" t="s">
        <v>9</v>
      </c>
      <c r="C7" s="7" t="s">
        <v>10</v>
      </c>
      <c r="D7" s="3" t="s">
        <v>21</v>
      </c>
      <c r="E7" s="3" t="s">
        <v>22</v>
      </c>
      <c r="F7" s="7" t="s">
        <v>21</v>
      </c>
      <c r="G7" s="7" t="s">
        <v>21</v>
      </c>
      <c r="H7" s="7" t="s">
        <v>21</v>
      </c>
      <c r="I7" s="12" t="s">
        <v>21</v>
      </c>
      <c r="J7" s="12" t="s">
        <v>21</v>
      </c>
      <c r="K7" s="13" t="s">
        <v>21</v>
      </c>
      <c r="L7" s="7" t="s">
        <v>22</v>
      </c>
      <c r="M7" s="14" t="s">
        <v>21</v>
      </c>
      <c r="S7" s="7" t="s">
        <v>22</v>
      </c>
      <c r="Z7" s="7" t="s">
        <v>22</v>
      </c>
      <c r="AG7" s="7" t="s">
        <v>22</v>
      </c>
      <c r="AH7">
        <f t="shared" si="0"/>
        <v>8</v>
      </c>
      <c r="AI7">
        <f t="shared" si="1"/>
        <v>0</v>
      </c>
      <c r="AJ7" s="8" t="e">
        <f t="shared" si="2"/>
        <v>#DIV/0!</v>
      </c>
    </row>
    <row r="8" spans="1:36" x14ac:dyDescent="0.25">
      <c r="A8" s="1">
        <v>5</v>
      </c>
      <c r="B8" s="7" t="s">
        <v>11</v>
      </c>
      <c r="C8" s="7" t="s">
        <v>7</v>
      </c>
      <c r="D8" s="3" t="s">
        <v>21</v>
      </c>
      <c r="E8" s="3" t="s">
        <v>22</v>
      </c>
      <c r="F8" s="7" t="s">
        <v>21</v>
      </c>
      <c r="G8" s="7" t="s">
        <v>21</v>
      </c>
      <c r="H8" s="7" t="s">
        <v>21</v>
      </c>
      <c r="I8" s="12" t="s">
        <v>21</v>
      </c>
      <c r="J8" s="12" t="s">
        <v>21</v>
      </c>
      <c r="K8" s="13" t="s">
        <v>21</v>
      </c>
      <c r="L8" s="7" t="s">
        <v>22</v>
      </c>
      <c r="M8" s="14" t="s">
        <v>21</v>
      </c>
      <c r="S8" s="7" t="s">
        <v>22</v>
      </c>
      <c r="Z8" s="7" t="s">
        <v>22</v>
      </c>
      <c r="AG8" s="7" t="s">
        <v>22</v>
      </c>
      <c r="AH8">
        <f t="shared" si="0"/>
        <v>8</v>
      </c>
      <c r="AI8">
        <f t="shared" si="1"/>
        <v>0</v>
      </c>
      <c r="AJ8" s="8" t="e">
        <f t="shared" si="2"/>
        <v>#DIV/0!</v>
      </c>
    </row>
    <row r="9" spans="1:36" x14ac:dyDescent="0.25">
      <c r="A9" s="1">
        <v>6</v>
      </c>
      <c r="B9" s="7" t="s">
        <v>12</v>
      </c>
      <c r="C9" s="7" t="s">
        <v>13</v>
      </c>
      <c r="D9" s="3" t="s">
        <v>21</v>
      </c>
      <c r="E9" s="3" t="s">
        <v>22</v>
      </c>
      <c r="F9" s="7" t="s">
        <v>21</v>
      </c>
      <c r="G9" s="7" t="s">
        <v>21</v>
      </c>
      <c r="H9" s="7" t="s">
        <v>21</v>
      </c>
      <c r="I9" s="12" t="s">
        <v>21</v>
      </c>
      <c r="J9" s="12" t="s">
        <v>21</v>
      </c>
      <c r="K9" s="13" t="s">
        <v>21</v>
      </c>
      <c r="L9" s="7" t="s">
        <v>22</v>
      </c>
      <c r="M9" s="14" t="s">
        <v>21</v>
      </c>
      <c r="S9" s="7" t="s">
        <v>22</v>
      </c>
      <c r="Z9" s="7" t="s">
        <v>22</v>
      </c>
      <c r="AG9" s="7" t="s">
        <v>22</v>
      </c>
      <c r="AH9">
        <f t="shared" si="0"/>
        <v>8</v>
      </c>
      <c r="AI9">
        <f t="shared" si="1"/>
        <v>0</v>
      </c>
      <c r="AJ9" s="8" t="e">
        <f t="shared" si="2"/>
        <v>#DIV/0!</v>
      </c>
    </row>
    <row r="10" spans="1:36" x14ac:dyDescent="0.25">
      <c r="A10" s="1">
        <v>7</v>
      </c>
      <c r="B10" s="7" t="s">
        <v>14</v>
      </c>
      <c r="C10" s="7" t="s">
        <v>10</v>
      </c>
      <c r="D10" s="3" t="s">
        <v>21</v>
      </c>
      <c r="E10" s="3" t="s">
        <v>22</v>
      </c>
      <c r="F10" s="7" t="s">
        <v>21</v>
      </c>
      <c r="G10" s="7" t="s">
        <v>21</v>
      </c>
      <c r="H10" s="7" t="s">
        <v>21</v>
      </c>
      <c r="I10" s="12" t="s">
        <v>21</v>
      </c>
      <c r="J10" s="12" t="s">
        <v>21</v>
      </c>
      <c r="K10" s="13" t="s">
        <v>21</v>
      </c>
      <c r="L10" s="7" t="s">
        <v>22</v>
      </c>
      <c r="M10" s="14" t="s">
        <v>21</v>
      </c>
      <c r="S10" s="7" t="s">
        <v>22</v>
      </c>
      <c r="Z10" s="7" t="s">
        <v>22</v>
      </c>
      <c r="AG10" s="7" t="s">
        <v>22</v>
      </c>
      <c r="AH10">
        <f t="shared" si="0"/>
        <v>8</v>
      </c>
      <c r="AI10">
        <f t="shared" si="1"/>
        <v>0</v>
      </c>
      <c r="AJ10" s="8" t="e">
        <f t="shared" si="2"/>
        <v>#DIV/0!</v>
      </c>
    </row>
    <row r="11" spans="1:36" x14ac:dyDescent="0.25">
      <c r="A11" s="7">
        <v>8</v>
      </c>
      <c r="B11" s="7" t="s">
        <v>15</v>
      </c>
      <c r="C11" s="7" t="s">
        <v>10</v>
      </c>
      <c r="D11" s="3"/>
      <c r="E11" s="3" t="s">
        <v>22</v>
      </c>
      <c r="F11" s="7" t="s">
        <v>21</v>
      </c>
      <c r="G11" s="7" t="s">
        <v>21</v>
      </c>
      <c r="H11" s="7" t="s">
        <v>21</v>
      </c>
      <c r="I11" s="12" t="s">
        <v>21</v>
      </c>
      <c r="J11" s="12" t="s">
        <v>21</v>
      </c>
      <c r="K11" s="13" t="s">
        <v>21</v>
      </c>
      <c r="L11" s="7" t="s">
        <v>22</v>
      </c>
      <c r="M11" s="14" t="s">
        <v>21</v>
      </c>
      <c r="S11" s="7" t="s">
        <v>22</v>
      </c>
      <c r="Z11" s="7" t="s">
        <v>22</v>
      </c>
      <c r="AG11" s="7" t="s">
        <v>22</v>
      </c>
      <c r="AH11">
        <f t="shared" si="0"/>
        <v>7</v>
      </c>
      <c r="AI11">
        <f t="shared" si="1"/>
        <v>0</v>
      </c>
      <c r="AJ11" s="8" t="e">
        <f t="shared" si="2"/>
        <v>#DIV/0!</v>
      </c>
    </row>
    <row r="12" spans="1:36" x14ac:dyDescent="0.25">
      <c r="A12" s="7">
        <v>9</v>
      </c>
      <c r="B12" s="7" t="s">
        <v>16</v>
      </c>
      <c r="C12" s="7" t="s">
        <v>17</v>
      </c>
      <c r="D12" s="3"/>
      <c r="E12" s="3" t="s">
        <v>22</v>
      </c>
      <c r="F12" s="7" t="s">
        <v>21</v>
      </c>
      <c r="G12" s="7" t="s">
        <v>21</v>
      </c>
      <c r="H12" s="7" t="s">
        <v>21</v>
      </c>
      <c r="I12" s="12" t="s">
        <v>21</v>
      </c>
      <c r="J12" s="12" t="s">
        <v>21</v>
      </c>
      <c r="K12" s="13" t="s">
        <v>21</v>
      </c>
      <c r="L12" s="7" t="s">
        <v>22</v>
      </c>
      <c r="M12" s="14" t="s">
        <v>21</v>
      </c>
      <c r="S12" s="7" t="s">
        <v>22</v>
      </c>
      <c r="Z12" s="7" t="s">
        <v>22</v>
      </c>
      <c r="AG12" s="7" t="s">
        <v>22</v>
      </c>
      <c r="AH12">
        <f t="shared" si="0"/>
        <v>7</v>
      </c>
      <c r="AI12">
        <f t="shared" si="1"/>
        <v>0</v>
      </c>
      <c r="AJ12" s="8" t="e">
        <f t="shared" si="2"/>
        <v>#DIV/0!</v>
      </c>
    </row>
    <row r="13" spans="1:36" x14ac:dyDescent="0.25">
      <c r="A13" s="7">
        <v>10</v>
      </c>
      <c r="B13" s="7" t="s">
        <v>18</v>
      </c>
      <c r="C13" s="7" t="s">
        <v>7</v>
      </c>
      <c r="D13" s="3"/>
      <c r="E13" s="3" t="s">
        <v>22</v>
      </c>
      <c r="F13" s="7" t="s">
        <v>21</v>
      </c>
      <c r="G13" s="7" t="s">
        <v>21</v>
      </c>
      <c r="H13" s="7" t="s">
        <v>21</v>
      </c>
      <c r="I13" s="12" t="s">
        <v>21</v>
      </c>
      <c r="J13" s="12" t="s">
        <v>21</v>
      </c>
      <c r="K13" s="13" t="s">
        <v>21</v>
      </c>
      <c r="L13" s="7" t="s">
        <v>22</v>
      </c>
      <c r="M13" s="14" t="s">
        <v>21</v>
      </c>
      <c r="S13" s="7" t="s">
        <v>22</v>
      </c>
      <c r="Z13" s="7" t="s">
        <v>22</v>
      </c>
      <c r="AG13" s="7" t="s">
        <v>22</v>
      </c>
      <c r="AH13">
        <f t="shared" si="0"/>
        <v>7</v>
      </c>
      <c r="AI13">
        <f t="shared" si="1"/>
        <v>0</v>
      </c>
      <c r="AJ13" s="8" t="e">
        <f t="shared" si="2"/>
        <v>#DIV/0!</v>
      </c>
    </row>
    <row r="14" spans="1:36" x14ac:dyDescent="0.25">
      <c r="A14" s="7">
        <v>11</v>
      </c>
      <c r="B14" s="7" t="s">
        <v>19</v>
      </c>
      <c r="C14" s="7" t="s">
        <v>10</v>
      </c>
      <c r="D14" s="3"/>
      <c r="E14" s="3" t="s">
        <v>22</v>
      </c>
      <c r="F14" s="7" t="s">
        <v>21</v>
      </c>
      <c r="G14" s="7" t="s">
        <v>21</v>
      </c>
      <c r="H14" s="7" t="s">
        <v>21</v>
      </c>
      <c r="I14" s="12" t="s">
        <v>21</v>
      </c>
      <c r="J14" s="12" t="s">
        <v>21</v>
      </c>
      <c r="K14" s="13" t="s">
        <v>21</v>
      </c>
      <c r="L14" s="7" t="s">
        <v>22</v>
      </c>
      <c r="M14" s="14" t="s">
        <v>21</v>
      </c>
      <c r="S14" s="7" t="s">
        <v>22</v>
      </c>
      <c r="Z14" s="7" t="s">
        <v>22</v>
      </c>
      <c r="AG14" s="7" t="s">
        <v>22</v>
      </c>
      <c r="AH14">
        <f t="shared" si="0"/>
        <v>7</v>
      </c>
      <c r="AI14">
        <f t="shared" si="1"/>
        <v>0</v>
      </c>
      <c r="AJ14" s="8" t="e">
        <f t="shared" si="2"/>
        <v>#DIV/0!</v>
      </c>
    </row>
    <row r="15" spans="1:36" x14ac:dyDescent="0.25">
      <c r="A15" s="7">
        <v>12</v>
      </c>
      <c r="B15" s="7" t="s">
        <v>20</v>
      </c>
      <c r="C15" s="7" t="s">
        <v>7</v>
      </c>
      <c r="D15" s="3"/>
      <c r="E15" s="3" t="s">
        <v>22</v>
      </c>
      <c r="F15" s="4" t="s">
        <v>21</v>
      </c>
      <c r="G15" s="7" t="s">
        <v>21</v>
      </c>
      <c r="H15" s="7" t="s">
        <v>21</v>
      </c>
      <c r="I15" s="12" t="s">
        <v>21</v>
      </c>
      <c r="J15" s="12" t="s">
        <v>21</v>
      </c>
      <c r="K15" s="13" t="s">
        <v>21</v>
      </c>
      <c r="L15" s="7" t="s">
        <v>22</v>
      </c>
      <c r="M15" s="14" t="s">
        <v>21</v>
      </c>
      <c r="S15" s="7" t="s">
        <v>22</v>
      </c>
      <c r="Z15" s="7" t="s">
        <v>22</v>
      </c>
      <c r="AG15" s="7" t="s">
        <v>22</v>
      </c>
      <c r="AH15">
        <f t="shared" si="0"/>
        <v>7</v>
      </c>
      <c r="AI15">
        <f t="shared" si="1"/>
        <v>0</v>
      </c>
      <c r="AJ15" s="8" t="e">
        <f t="shared" si="2"/>
        <v>#DIV/0!</v>
      </c>
    </row>
    <row r="16" spans="1:36" x14ac:dyDescent="0.25">
      <c r="A16" s="7">
        <v>13</v>
      </c>
      <c r="B16" s="7" t="s">
        <v>23</v>
      </c>
      <c r="C16" s="7" t="s">
        <v>7</v>
      </c>
      <c r="E16" s="3" t="s">
        <v>22</v>
      </c>
      <c r="F16" s="15" t="s">
        <v>33</v>
      </c>
      <c r="G16" s="15" t="s">
        <v>33</v>
      </c>
      <c r="H16" s="10" t="s">
        <v>21</v>
      </c>
      <c r="I16" s="12" t="s">
        <v>21</v>
      </c>
      <c r="J16" s="12" t="s">
        <v>21</v>
      </c>
      <c r="K16" s="13" t="s">
        <v>21</v>
      </c>
      <c r="L16" s="7" t="s">
        <v>22</v>
      </c>
      <c r="M16" s="14" t="s">
        <v>21</v>
      </c>
      <c r="S16" s="7" t="s">
        <v>22</v>
      </c>
      <c r="Z16" s="7" t="s">
        <v>22</v>
      </c>
      <c r="AG16" s="7" t="s">
        <v>22</v>
      </c>
      <c r="AH16">
        <f t="shared" si="0"/>
        <v>5</v>
      </c>
      <c r="AI16">
        <f t="shared" si="1"/>
        <v>0</v>
      </c>
      <c r="AJ16" s="8" t="e">
        <f t="shared" si="2"/>
        <v>#DIV/0!</v>
      </c>
    </row>
    <row r="17" spans="1:36" x14ac:dyDescent="0.25">
      <c r="A17" s="7">
        <v>14</v>
      </c>
      <c r="B17" s="7" t="s">
        <v>25</v>
      </c>
      <c r="C17" s="7" t="s">
        <v>7</v>
      </c>
      <c r="E17" s="3" t="s">
        <v>22</v>
      </c>
      <c r="F17" s="15" t="s">
        <v>33</v>
      </c>
      <c r="G17" s="15" t="s">
        <v>33</v>
      </c>
      <c r="I17" s="12" t="s">
        <v>21</v>
      </c>
      <c r="J17" s="12" t="s">
        <v>21</v>
      </c>
      <c r="K17" s="13" t="s">
        <v>21</v>
      </c>
      <c r="L17" s="7" t="s">
        <v>22</v>
      </c>
      <c r="M17" s="14" t="s">
        <v>21</v>
      </c>
      <c r="S17" s="7" t="s">
        <v>22</v>
      </c>
      <c r="Z17" s="7" t="s">
        <v>22</v>
      </c>
      <c r="AG17" s="7" t="s">
        <v>22</v>
      </c>
      <c r="AH17">
        <f t="shared" si="0"/>
        <v>4</v>
      </c>
      <c r="AI17">
        <f t="shared" si="1"/>
        <v>0</v>
      </c>
      <c r="AJ17" s="8" t="e">
        <f t="shared" si="2"/>
        <v>#DIV/0!</v>
      </c>
    </row>
    <row r="18" spans="1:36" x14ac:dyDescent="0.25">
      <c r="A18" s="9">
        <v>15</v>
      </c>
      <c r="B18" s="9" t="s">
        <v>29</v>
      </c>
      <c r="C18" s="9" t="s">
        <v>30</v>
      </c>
      <c r="D18" s="5" t="s">
        <v>31</v>
      </c>
      <c r="E18" s="5" t="s">
        <v>22</v>
      </c>
      <c r="F18" s="5" t="s">
        <v>31</v>
      </c>
      <c r="G18" s="5" t="s">
        <v>31</v>
      </c>
      <c r="H18" s="5" t="s">
        <v>21</v>
      </c>
      <c r="I18" s="12" t="s">
        <v>21</v>
      </c>
      <c r="J18" s="12" t="s">
        <v>21</v>
      </c>
      <c r="K18" s="13" t="s">
        <v>21</v>
      </c>
      <c r="L18" s="5" t="s">
        <v>22</v>
      </c>
      <c r="M18" s="14" t="s">
        <v>21</v>
      </c>
      <c r="N18" s="5"/>
      <c r="O18" s="5"/>
      <c r="P18" s="5"/>
      <c r="Q18" s="5"/>
      <c r="R18" s="5"/>
      <c r="S18" s="5" t="s">
        <v>22</v>
      </c>
      <c r="T18" s="5"/>
      <c r="U18" s="5"/>
      <c r="V18" s="5"/>
      <c r="W18" s="5"/>
      <c r="X18" s="5"/>
      <c r="Y18" s="5"/>
      <c r="Z18" s="5" t="s">
        <v>22</v>
      </c>
      <c r="AA18" s="5"/>
      <c r="AB18" s="5"/>
      <c r="AC18" s="5"/>
      <c r="AD18" s="5"/>
      <c r="AE18" s="5"/>
      <c r="AF18" s="5"/>
      <c r="AG18" s="5" t="s">
        <v>22</v>
      </c>
      <c r="AH18">
        <f t="shared" si="0"/>
        <v>5</v>
      </c>
      <c r="AI18">
        <f t="shared" si="1"/>
        <v>3</v>
      </c>
      <c r="AJ18" s="8" t="e">
        <f t="shared" si="2"/>
        <v>#DIV/0!</v>
      </c>
    </row>
    <row r="19" spans="1:36" x14ac:dyDescent="0.25">
      <c r="A19" s="12">
        <v>16</v>
      </c>
      <c r="B19" s="12" t="s">
        <v>32</v>
      </c>
      <c r="C19" s="12" t="s">
        <v>5</v>
      </c>
      <c r="E19" s="5" t="s">
        <v>22</v>
      </c>
      <c r="F19" s="5" t="s">
        <v>33</v>
      </c>
      <c r="G19" s="5" t="s">
        <v>33</v>
      </c>
      <c r="I19" s="12" t="s">
        <v>21</v>
      </c>
      <c r="J19" s="12" t="s">
        <v>21</v>
      </c>
      <c r="K19" s="13" t="s">
        <v>21</v>
      </c>
      <c r="L19" s="5" t="s">
        <v>22</v>
      </c>
      <c r="M19" s="14" t="s">
        <v>21</v>
      </c>
      <c r="S19" s="5" t="s">
        <v>22</v>
      </c>
      <c r="Z19" s="5" t="s">
        <v>22</v>
      </c>
      <c r="AG19" s="5" t="s">
        <v>22</v>
      </c>
      <c r="AH19">
        <f t="shared" si="0"/>
        <v>4</v>
      </c>
      <c r="AI19">
        <f t="shared" si="1"/>
        <v>0</v>
      </c>
      <c r="AJ19" s="8" t="e">
        <f t="shared" si="2"/>
        <v>#DIV/0!</v>
      </c>
    </row>
    <row r="20" spans="1:36" x14ac:dyDescent="0.25">
      <c r="A20" s="15">
        <v>17</v>
      </c>
      <c r="B20" s="15" t="s">
        <v>34</v>
      </c>
      <c r="C20" s="15" t="s">
        <v>10</v>
      </c>
      <c r="E20" s="5" t="s">
        <v>22</v>
      </c>
      <c r="L20" s="5" t="s">
        <v>22</v>
      </c>
      <c r="M20" s="15" t="s">
        <v>21</v>
      </c>
      <c r="S20" s="5" t="s">
        <v>22</v>
      </c>
      <c r="Z20" s="5" t="s">
        <v>22</v>
      </c>
      <c r="AG20" s="5" t="s">
        <v>22</v>
      </c>
      <c r="AH20">
        <f t="shared" si="0"/>
        <v>1</v>
      </c>
      <c r="AI20">
        <f t="shared" si="1"/>
        <v>0</v>
      </c>
      <c r="AJ20" s="8" t="e">
        <f t="shared" si="2"/>
        <v>#DIV/0!</v>
      </c>
    </row>
    <row r="21" spans="1:36" x14ac:dyDescent="0.25"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 x14ac:dyDescent="0.25">
      <c r="Y22"/>
      <c r="Z22"/>
      <c r="AA22"/>
      <c r="AB22"/>
      <c r="AC22"/>
      <c r="AD22"/>
      <c r="AE22"/>
      <c r="AF22"/>
    </row>
  </sheetData>
  <mergeCells count="2">
    <mergeCell ref="D2:AG2"/>
    <mergeCell ref="A1:A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048576"/>
  <sheetViews>
    <sheetView tabSelected="1" topLeftCell="A49" zoomScale="85" zoomScaleNormal="85" workbookViewId="0">
      <selection activeCell="B102" sqref="B102"/>
    </sheetView>
  </sheetViews>
  <sheetFormatPr defaultColWidth="14.140625" defaultRowHeight="15" x14ac:dyDescent="0.25"/>
  <cols>
    <col min="1" max="1" width="33.85546875" bestFit="1" customWidth="1"/>
    <col min="2" max="2" width="14.140625" customWidth="1"/>
    <col min="3" max="3" width="20.140625" style="16" customWidth="1"/>
    <col min="4" max="4" width="20.42578125" style="36" customWidth="1"/>
  </cols>
  <sheetData>
    <row r="1" spans="1:117" ht="63.75" customHeight="1" x14ac:dyDescent="0.25">
      <c r="A1" s="44" t="s">
        <v>197</v>
      </c>
      <c r="B1" s="34" t="s">
        <v>198</v>
      </c>
      <c r="C1" s="34" t="s">
        <v>199</v>
      </c>
      <c r="D1" s="35" t="s">
        <v>200</v>
      </c>
    </row>
    <row r="2" spans="1:117" s="36" customFormat="1" ht="18.75" customHeight="1" x14ac:dyDescent="0.25">
      <c r="A2" s="19" t="s">
        <v>35</v>
      </c>
      <c r="B2" s="20" t="s">
        <v>36</v>
      </c>
      <c r="C2" s="21" t="s">
        <v>37</v>
      </c>
      <c r="D2" s="2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</row>
    <row r="3" spans="1:117" s="36" customFormat="1" ht="15.75" customHeight="1" x14ac:dyDescent="0.25">
      <c r="A3" s="19" t="s">
        <v>38</v>
      </c>
      <c r="B3" s="20" t="s">
        <v>36</v>
      </c>
      <c r="C3" s="21" t="s">
        <v>37</v>
      </c>
      <c r="D3" s="22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</row>
    <row r="4" spans="1:117" s="36" customFormat="1" ht="15.75" x14ac:dyDescent="0.25">
      <c r="A4" s="19" t="s">
        <v>39</v>
      </c>
      <c r="B4" s="20" t="s">
        <v>36</v>
      </c>
      <c r="C4" s="21" t="s">
        <v>37</v>
      </c>
      <c r="D4" s="22" t="s">
        <v>201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</row>
    <row r="5" spans="1:117" s="36" customFormat="1" ht="15.75" x14ac:dyDescent="0.25">
      <c r="A5" s="19" t="s">
        <v>40</v>
      </c>
      <c r="B5" s="20" t="s">
        <v>36</v>
      </c>
      <c r="C5" s="21" t="s">
        <v>37</v>
      </c>
      <c r="D5" s="22" t="s">
        <v>202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</row>
    <row r="6" spans="1:117" s="36" customFormat="1" ht="15.75" x14ac:dyDescent="0.25">
      <c r="A6" s="19" t="s">
        <v>41</v>
      </c>
      <c r="B6" s="20" t="s">
        <v>36</v>
      </c>
      <c r="C6" s="21" t="s">
        <v>42</v>
      </c>
      <c r="D6" s="22" t="s">
        <v>203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</row>
    <row r="7" spans="1:117" s="36" customFormat="1" ht="15.75" x14ac:dyDescent="0.25">
      <c r="A7" s="19" t="s">
        <v>43</v>
      </c>
      <c r="B7" s="20" t="s">
        <v>36</v>
      </c>
      <c r="C7" s="21" t="s">
        <v>42</v>
      </c>
      <c r="D7" s="22" t="s">
        <v>204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</row>
    <row r="8" spans="1:117" s="36" customFormat="1" ht="15.75" x14ac:dyDescent="0.25">
      <c r="A8" s="23" t="s">
        <v>44</v>
      </c>
      <c r="B8" s="37" t="s">
        <v>36</v>
      </c>
      <c r="C8" s="38" t="s">
        <v>42</v>
      </c>
      <c r="D8" s="22" t="s">
        <v>205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</row>
    <row r="9" spans="1:117" s="36" customFormat="1" ht="15.75" x14ac:dyDescent="0.25">
      <c r="A9" s="19" t="s">
        <v>45</v>
      </c>
      <c r="B9" s="20" t="s">
        <v>36</v>
      </c>
      <c r="C9" s="21" t="s">
        <v>46</v>
      </c>
      <c r="D9" s="22" t="s">
        <v>206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</row>
    <row r="10" spans="1:117" s="36" customFormat="1" ht="15.75" x14ac:dyDescent="0.25">
      <c r="A10" s="19" t="s">
        <v>47</v>
      </c>
      <c r="B10" s="20" t="s">
        <v>36</v>
      </c>
      <c r="C10" s="21" t="s">
        <v>46</v>
      </c>
      <c r="D10" s="22" t="s">
        <v>207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</row>
    <row r="11" spans="1:117" s="36" customFormat="1" ht="15.75" x14ac:dyDescent="0.25">
      <c r="A11" s="19" t="s">
        <v>48</v>
      </c>
      <c r="B11" s="20" t="s">
        <v>36</v>
      </c>
      <c r="C11" s="21" t="s">
        <v>46</v>
      </c>
      <c r="D11" s="22" t="s">
        <v>208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</row>
    <row r="12" spans="1:117" s="36" customFormat="1" ht="15.75" x14ac:dyDescent="0.25">
      <c r="A12" s="19" t="s">
        <v>49</v>
      </c>
      <c r="B12" s="20" t="s">
        <v>36</v>
      </c>
      <c r="C12" s="21" t="s">
        <v>46</v>
      </c>
      <c r="D12" s="22" t="s">
        <v>209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</row>
    <row r="13" spans="1:117" s="36" customFormat="1" ht="15.75" x14ac:dyDescent="0.25">
      <c r="A13" s="19" t="s">
        <v>50</v>
      </c>
      <c r="B13" s="20" t="s">
        <v>36</v>
      </c>
      <c r="C13" s="21" t="s">
        <v>46</v>
      </c>
      <c r="D13" s="22" t="s">
        <v>206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</row>
    <row r="14" spans="1:117" s="36" customFormat="1" ht="18.75" customHeight="1" x14ac:dyDescent="0.25">
      <c r="A14" s="19" t="s">
        <v>51</v>
      </c>
      <c r="B14" s="20" t="s">
        <v>36</v>
      </c>
      <c r="C14" s="21" t="s">
        <v>46</v>
      </c>
      <c r="D14" s="22" t="s">
        <v>210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</row>
    <row r="15" spans="1:117" s="36" customFormat="1" ht="19.5" customHeight="1" x14ac:dyDescent="0.25">
      <c r="A15" s="19" t="s">
        <v>52</v>
      </c>
      <c r="B15" s="20" t="s">
        <v>36</v>
      </c>
      <c r="C15" s="21" t="s">
        <v>46</v>
      </c>
      <c r="D15" s="22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</row>
    <row r="16" spans="1:117" s="36" customFormat="1" ht="18" customHeight="1" x14ac:dyDescent="0.25">
      <c r="A16" s="19" t="s">
        <v>53</v>
      </c>
      <c r="B16" s="20" t="s">
        <v>36</v>
      </c>
      <c r="C16" s="21" t="s">
        <v>46</v>
      </c>
      <c r="D16" s="22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</row>
    <row r="17" spans="1:117" s="36" customFormat="1" ht="19.5" customHeight="1" x14ac:dyDescent="0.25">
      <c r="A17" s="19" t="s">
        <v>54</v>
      </c>
      <c r="B17" s="20" t="s">
        <v>36</v>
      </c>
      <c r="C17" s="21" t="s">
        <v>46</v>
      </c>
      <c r="D17" s="22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</row>
    <row r="18" spans="1:117" s="36" customFormat="1" ht="18" customHeight="1" x14ac:dyDescent="0.25">
      <c r="A18" s="19" t="s">
        <v>55</v>
      </c>
      <c r="B18" s="20" t="s">
        <v>36</v>
      </c>
      <c r="C18" s="21" t="s">
        <v>46</v>
      </c>
      <c r="D18" s="22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</row>
    <row r="19" spans="1:117" s="36" customFormat="1" ht="20.25" customHeight="1" x14ac:dyDescent="0.25">
      <c r="A19" s="19" t="s">
        <v>56</v>
      </c>
      <c r="B19" s="20" t="s">
        <v>36</v>
      </c>
      <c r="C19" s="21" t="s">
        <v>46</v>
      </c>
      <c r="D19" s="22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</row>
    <row r="20" spans="1:117" s="36" customFormat="1" ht="13.5" customHeight="1" x14ac:dyDescent="0.25">
      <c r="A20" s="19" t="s">
        <v>57</v>
      </c>
      <c r="B20" s="20" t="s">
        <v>36</v>
      </c>
      <c r="C20" s="21" t="s">
        <v>46</v>
      </c>
      <c r="D20" s="22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</row>
    <row r="21" spans="1:117" s="36" customFormat="1" ht="15.75" customHeight="1" x14ac:dyDescent="0.25">
      <c r="A21" s="19" t="s">
        <v>58</v>
      </c>
      <c r="B21" s="20" t="s">
        <v>36</v>
      </c>
      <c r="C21" s="21" t="s">
        <v>46</v>
      </c>
      <c r="D21" s="22" t="s">
        <v>207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</row>
    <row r="22" spans="1:117" s="36" customFormat="1" ht="20.25" customHeight="1" x14ac:dyDescent="0.25">
      <c r="A22" s="19" t="s">
        <v>59</v>
      </c>
      <c r="B22" s="20" t="s">
        <v>36</v>
      </c>
      <c r="C22" s="21" t="s">
        <v>46</v>
      </c>
      <c r="D22" s="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</row>
    <row r="23" spans="1:117" s="36" customFormat="1" ht="13.5" customHeight="1" x14ac:dyDescent="0.25">
      <c r="A23" s="19" t="s">
        <v>60</v>
      </c>
      <c r="B23" s="20" t="s">
        <v>36</v>
      </c>
      <c r="C23" s="21" t="s">
        <v>46</v>
      </c>
      <c r="D23" s="22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</row>
    <row r="24" spans="1:117" s="36" customFormat="1" ht="18.75" customHeight="1" x14ac:dyDescent="0.25">
      <c r="A24" s="19" t="s">
        <v>61</v>
      </c>
      <c r="B24" s="20" t="s">
        <v>36</v>
      </c>
      <c r="C24" s="21" t="s">
        <v>46</v>
      </c>
      <c r="D24" s="22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</row>
    <row r="25" spans="1:117" s="36" customFormat="1" ht="15.75" customHeight="1" x14ac:dyDescent="0.25">
      <c r="A25" s="19" t="s">
        <v>62</v>
      </c>
      <c r="B25" s="20" t="s">
        <v>36</v>
      </c>
      <c r="C25" s="21" t="s">
        <v>46</v>
      </c>
      <c r="D25" s="22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</row>
    <row r="26" spans="1:117" s="36" customFormat="1" ht="14.25" customHeight="1" x14ac:dyDescent="0.25">
      <c r="A26" s="19" t="s">
        <v>63</v>
      </c>
      <c r="B26" s="20" t="s">
        <v>36</v>
      </c>
      <c r="C26" s="21" t="s">
        <v>46</v>
      </c>
      <c r="D26" s="22" t="s">
        <v>211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</row>
    <row r="27" spans="1:117" s="36" customFormat="1" ht="18" customHeight="1" x14ac:dyDescent="0.25">
      <c r="A27" s="19" t="s">
        <v>64</v>
      </c>
      <c r="B27" s="20" t="s">
        <v>36</v>
      </c>
      <c r="C27" s="21" t="s">
        <v>46</v>
      </c>
      <c r="D27" s="22" t="s">
        <v>212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</row>
    <row r="28" spans="1:117" s="36" customFormat="1" ht="15.75" customHeight="1" x14ac:dyDescent="0.25">
      <c r="A28" s="19" t="s">
        <v>65</v>
      </c>
      <c r="B28" s="20" t="s">
        <v>36</v>
      </c>
      <c r="C28" s="21" t="s">
        <v>46</v>
      </c>
      <c r="D28" s="22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</row>
    <row r="29" spans="1:117" s="36" customFormat="1" ht="17.25" customHeight="1" x14ac:dyDescent="0.25">
      <c r="A29" s="19" t="s">
        <v>66</v>
      </c>
      <c r="B29" s="20" t="s">
        <v>36</v>
      </c>
      <c r="C29" s="21" t="s">
        <v>46</v>
      </c>
      <c r="D29" s="22" t="s">
        <v>213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</row>
    <row r="30" spans="1:117" s="36" customFormat="1" ht="15" customHeight="1" x14ac:dyDescent="0.25">
      <c r="A30" s="19" t="s">
        <v>67</v>
      </c>
      <c r="B30" s="20" t="s">
        <v>36</v>
      </c>
      <c r="C30" s="21" t="s">
        <v>46</v>
      </c>
      <c r="D30" s="22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</row>
    <row r="31" spans="1:117" s="36" customFormat="1" ht="15.75" x14ac:dyDescent="0.25">
      <c r="A31" s="24" t="s">
        <v>68</v>
      </c>
      <c r="B31" s="25" t="s">
        <v>36</v>
      </c>
      <c r="C31" s="26" t="s">
        <v>69</v>
      </c>
      <c r="D31" s="22" t="s">
        <v>214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</row>
    <row r="32" spans="1:117" s="36" customFormat="1" ht="15.75" x14ac:dyDescent="0.25">
      <c r="A32" s="27" t="s">
        <v>70</v>
      </c>
      <c r="B32" s="20" t="s">
        <v>36</v>
      </c>
      <c r="C32" s="21" t="s">
        <v>69</v>
      </c>
      <c r="D32" s="22" t="s">
        <v>214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</row>
    <row r="33" spans="1:117" s="37" customFormat="1" ht="15.75" x14ac:dyDescent="0.25">
      <c r="A33" s="24" t="s">
        <v>71</v>
      </c>
      <c r="B33" s="25" t="s">
        <v>36</v>
      </c>
      <c r="C33" s="26" t="s">
        <v>69</v>
      </c>
      <c r="D33" s="22" t="s">
        <v>214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  <c r="CC33" s="39"/>
      <c r="CD33" s="39"/>
      <c r="CE33" s="39"/>
      <c r="CF33" s="39"/>
      <c r="CG33" s="39"/>
      <c r="CH33" s="39"/>
      <c r="CI33" s="39"/>
      <c r="CJ33" s="39"/>
      <c r="CK33" s="39"/>
      <c r="CL33" s="39"/>
      <c r="CM33" s="39"/>
      <c r="CN33" s="39"/>
      <c r="CO33" s="39"/>
      <c r="CP33" s="39"/>
      <c r="CQ33" s="39"/>
      <c r="CR33" s="39"/>
      <c r="CS33" s="39"/>
      <c r="CT33" s="39"/>
      <c r="CU33" s="39"/>
      <c r="CV33" s="39"/>
      <c r="CW33" s="39"/>
      <c r="CX33" s="39"/>
      <c r="CY33" s="39"/>
      <c r="CZ33" s="39"/>
      <c r="DA33" s="39"/>
      <c r="DB33" s="39"/>
      <c r="DC33" s="39"/>
      <c r="DD33" s="39"/>
      <c r="DE33" s="39"/>
      <c r="DF33" s="39"/>
      <c r="DG33" s="39"/>
      <c r="DH33" s="39"/>
      <c r="DI33" s="39"/>
      <c r="DJ33" s="39"/>
      <c r="DK33" s="39"/>
      <c r="DL33" s="39"/>
      <c r="DM33" s="39"/>
    </row>
    <row r="34" spans="1:117" s="36" customFormat="1" ht="15.75" x14ac:dyDescent="0.25">
      <c r="A34" s="27" t="s">
        <v>72</v>
      </c>
      <c r="B34" s="20" t="s">
        <v>36</v>
      </c>
      <c r="C34" s="21" t="s">
        <v>69</v>
      </c>
      <c r="D34" s="22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</row>
    <row r="35" spans="1:117" s="36" customFormat="1" ht="15.75" x14ac:dyDescent="0.25">
      <c r="A35" s="24" t="s">
        <v>73</v>
      </c>
      <c r="B35" s="25" t="s">
        <v>36</v>
      </c>
      <c r="C35" s="26" t="s">
        <v>69</v>
      </c>
      <c r="D35" s="22" t="s">
        <v>215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</row>
    <row r="36" spans="1:117" s="36" customFormat="1" ht="15.75" x14ac:dyDescent="0.25">
      <c r="A36" s="27" t="s">
        <v>74</v>
      </c>
      <c r="B36" s="20" t="s">
        <v>36</v>
      </c>
      <c r="C36" s="21" t="s">
        <v>69</v>
      </c>
      <c r="D36" s="22" t="s">
        <v>216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</row>
    <row r="37" spans="1:117" s="36" customFormat="1" ht="15.75" x14ac:dyDescent="0.25">
      <c r="A37" s="27" t="s">
        <v>75</v>
      </c>
      <c r="B37" s="20" t="s">
        <v>36</v>
      </c>
      <c r="C37" s="21" t="s">
        <v>69</v>
      </c>
      <c r="D37" s="22" t="s">
        <v>210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</row>
    <row r="38" spans="1:117" s="36" customFormat="1" ht="15.75" x14ac:dyDescent="0.25">
      <c r="A38" s="27" t="s">
        <v>76</v>
      </c>
      <c r="B38" s="20" t="s">
        <v>36</v>
      </c>
      <c r="C38" s="21" t="s">
        <v>69</v>
      </c>
      <c r="D38" s="22" t="s">
        <v>210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</row>
    <row r="39" spans="1:117" s="36" customFormat="1" ht="15.75" x14ac:dyDescent="0.25">
      <c r="A39" s="27" t="s">
        <v>77</v>
      </c>
      <c r="B39" s="20" t="s">
        <v>36</v>
      </c>
      <c r="C39" s="21" t="s">
        <v>69</v>
      </c>
      <c r="D39" s="22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</row>
    <row r="40" spans="1:117" s="36" customFormat="1" ht="15.75" x14ac:dyDescent="0.25">
      <c r="A40" s="27" t="s">
        <v>78</v>
      </c>
      <c r="B40" s="20" t="s">
        <v>36</v>
      </c>
      <c r="C40" s="21" t="s">
        <v>69</v>
      </c>
      <c r="D40" s="22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</row>
    <row r="41" spans="1:117" s="36" customFormat="1" ht="15.75" x14ac:dyDescent="0.25">
      <c r="A41" s="27" t="s">
        <v>79</v>
      </c>
      <c r="B41" s="20" t="s">
        <v>36</v>
      </c>
      <c r="C41" s="21" t="s">
        <v>69</v>
      </c>
      <c r="D41" s="22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</row>
    <row r="42" spans="1:117" s="36" customFormat="1" ht="15.75" x14ac:dyDescent="0.25">
      <c r="A42" s="27" t="s">
        <v>80</v>
      </c>
      <c r="B42" s="20" t="s">
        <v>36</v>
      </c>
      <c r="C42" s="21" t="s">
        <v>69</v>
      </c>
      <c r="D42" s="2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</row>
    <row r="43" spans="1:117" s="36" customFormat="1" ht="15.75" x14ac:dyDescent="0.25">
      <c r="A43" s="27" t="s">
        <v>81</v>
      </c>
      <c r="B43" s="20" t="s">
        <v>36</v>
      </c>
      <c r="C43" s="21" t="s">
        <v>69</v>
      </c>
      <c r="D43" s="22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</row>
    <row r="44" spans="1:117" s="36" customFormat="1" ht="15.75" x14ac:dyDescent="0.25">
      <c r="A44" s="27" t="s">
        <v>82</v>
      </c>
      <c r="B44" s="20" t="s">
        <v>36</v>
      </c>
      <c r="C44" s="21" t="s">
        <v>69</v>
      </c>
      <c r="D44" s="22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</row>
    <row r="45" spans="1:117" s="36" customFormat="1" ht="0.75" customHeight="1" x14ac:dyDescent="0.25">
      <c r="A45" s="27" t="s">
        <v>83</v>
      </c>
      <c r="B45" s="20" t="s">
        <v>36</v>
      </c>
      <c r="C45" s="21" t="s">
        <v>69</v>
      </c>
      <c r="D45" s="22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</row>
    <row r="46" spans="1:117" s="36" customFormat="1" ht="15.75" x14ac:dyDescent="0.25">
      <c r="A46" s="27" t="s">
        <v>84</v>
      </c>
      <c r="B46" s="20" t="s">
        <v>36</v>
      </c>
      <c r="C46" s="21" t="s">
        <v>69</v>
      </c>
      <c r="D46" s="22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</row>
    <row r="47" spans="1:117" s="36" customFormat="1" ht="15.75" x14ac:dyDescent="0.25">
      <c r="A47" s="27" t="s">
        <v>85</v>
      </c>
      <c r="B47" s="20" t="s">
        <v>36</v>
      </c>
      <c r="C47" s="21" t="s">
        <v>69</v>
      </c>
      <c r="D47" s="22" t="s">
        <v>218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</row>
    <row r="48" spans="1:117" s="36" customFormat="1" ht="15.75" x14ac:dyDescent="0.25">
      <c r="A48" s="27" t="s">
        <v>86</v>
      </c>
      <c r="B48" s="20" t="s">
        <v>36</v>
      </c>
      <c r="C48" s="21" t="s">
        <v>69</v>
      </c>
      <c r="D48" s="22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</row>
    <row r="49" spans="1:117" s="36" customFormat="1" ht="15.75" x14ac:dyDescent="0.25">
      <c r="A49" s="24" t="s">
        <v>87</v>
      </c>
      <c r="B49" s="25" t="s">
        <v>36</v>
      </c>
      <c r="C49" s="26" t="s">
        <v>69</v>
      </c>
      <c r="D49" s="22" t="s">
        <v>217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</row>
    <row r="50" spans="1:117" s="36" customFormat="1" ht="15.75" x14ac:dyDescent="0.25">
      <c r="A50" s="27" t="s">
        <v>88</v>
      </c>
      <c r="B50" s="20" t="s">
        <v>36</v>
      </c>
      <c r="C50" s="21" t="s">
        <v>69</v>
      </c>
      <c r="D50" s="22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</row>
    <row r="51" spans="1:117" s="36" customFormat="1" ht="15.75" x14ac:dyDescent="0.25">
      <c r="A51" s="27" t="s">
        <v>89</v>
      </c>
      <c r="B51" s="20" t="s">
        <v>36</v>
      </c>
      <c r="C51" s="21" t="s">
        <v>69</v>
      </c>
      <c r="D51" s="22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</row>
    <row r="52" spans="1:117" s="36" customFormat="1" ht="15.75" x14ac:dyDescent="0.25">
      <c r="A52" s="27" t="s">
        <v>90</v>
      </c>
      <c r="B52" s="20" t="s">
        <v>36</v>
      </c>
      <c r="C52" s="21" t="s">
        <v>69</v>
      </c>
      <c r="D52" s="2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</row>
    <row r="53" spans="1:117" s="36" customFormat="1" ht="15" customHeight="1" x14ac:dyDescent="0.25">
      <c r="A53" s="27" t="s">
        <v>91</v>
      </c>
      <c r="B53" s="20" t="s">
        <v>36</v>
      </c>
      <c r="C53" s="21" t="s">
        <v>69</v>
      </c>
      <c r="D53" s="22" t="s">
        <v>219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</row>
    <row r="54" spans="1:117" s="36" customFormat="1" ht="15.75" x14ac:dyDescent="0.25">
      <c r="A54" s="27" t="s">
        <v>92</v>
      </c>
      <c r="B54" s="20" t="s">
        <v>36</v>
      </c>
      <c r="C54" s="21" t="s">
        <v>69</v>
      </c>
      <c r="D54" s="22" t="s">
        <v>220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</row>
    <row r="55" spans="1:117" s="36" customFormat="1" ht="15.75" x14ac:dyDescent="0.25">
      <c r="A55" s="27" t="s">
        <v>93</v>
      </c>
      <c r="B55" s="20" t="s">
        <v>36</v>
      </c>
      <c r="C55" s="21" t="s">
        <v>69</v>
      </c>
      <c r="D55" s="22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</row>
    <row r="56" spans="1:117" s="36" customFormat="1" ht="15.75" x14ac:dyDescent="0.25">
      <c r="A56" s="27" t="s">
        <v>94</v>
      </c>
      <c r="B56" s="20" t="s">
        <v>36</v>
      </c>
      <c r="C56" s="21" t="s">
        <v>69</v>
      </c>
      <c r="D56" s="22" t="s">
        <v>220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</row>
    <row r="57" spans="1:117" s="36" customFormat="1" ht="15.75" x14ac:dyDescent="0.25">
      <c r="A57" s="28" t="s">
        <v>95</v>
      </c>
      <c r="B57" s="20" t="s">
        <v>36</v>
      </c>
      <c r="C57" s="21" t="s">
        <v>96</v>
      </c>
      <c r="D57" s="22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</row>
    <row r="58" spans="1:117" s="36" customFormat="1" ht="15.75" x14ac:dyDescent="0.25">
      <c r="A58" s="28" t="s">
        <v>97</v>
      </c>
      <c r="B58" s="20" t="s">
        <v>36</v>
      </c>
      <c r="C58" s="21" t="s">
        <v>96</v>
      </c>
      <c r="D58" s="22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</row>
    <row r="59" spans="1:117" s="36" customFormat="1" ht="17.25" customHeight="1" x14ac:dyDescent="0.25">
      <c r="A59" s="29" t="s">
        <v>224</v>
      </c>
      <c r="B59" s="20" t="s">
        <v>36</v>
      </c>
      <c r="C59" s="21" t="s">
        <v>98</v>
      </c>
      <c r="D59" s="22" t="s">
        <v>225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</row>
    <row r="60" spans="1:117" s="36" customFormat="1" ht="15.75" x14ac:dyDescent="0.25">
      <c r="A60" s="29" t="s">
        <v>99</v>
      </c>
      <c r="B60" s="20" t="s">
        <v>36</v>
      </c>
      <c r="C60" s="21" t="s">
        <v>98</v>
      </c>
      <c r="D60" s="22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</row>
    <row r="61" spans="1:117" s="36" customFormat="1" ht="16.5" customHeight="1" x14ac:dyDescent="0.25">
      <c r="A61" s="29" t="s">
        <v>100</v>
      </c>
      <c r="B61" s="20" t="s">
        <v>36</v>
      </c>
      <c r="C61" s="21" t="s">
        <v>98</v>
      </c>
      <c r="D61" s="22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</row>
    <row r="62" spans="1:117" s="36" customFormat="1" ht="17.25" customHeight="1" x14ac:dyDescent="0.25">
      <c r="A62" s="29" t="s">
        <v>101</v>
      </c>
      <c r="B62" s="20" t="s">
        <v>36</v>
      </c>
      <c r="C62" s="21" t="s">
        <v>98</v>
      </c>
      <c r="D62" s="2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</row>
    <row r="63" spans="1:117" s="36" customFormat="1" ht="18.75" customHeight="1" x14ac:dyDescent="0.25">
      <c r="A63" s="29" t="s">
        <v>226</v>
      </c>
      <c r="B63" s="20" t="s">
        <v>36</v>
      </c>
      <c r="C63" s="21" t="s">
        <v>98</v>
      </c>
      <c r="D63" s="22" t="s">
        <v>227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</row>
    <row r="64" spans="1:117" s="36" customFormat="1" ht="13.5" customHeight="1" x14ac:dyDescent="0.25">
      <c r="A64" s="29" t="s">
        <v>102</v>
      </c>
      <c r="B64" s="20" t="s">
        <v>36</v>
      </c>
      <c r="C64" s="21" t="s">
        <v>98</v>
      </c>
      <c r="D64" s="22" t="s">
        <v>221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</row>
    <row r="65" spans="1:117" s="36" customFormat="1" ht="15.75" x14ac:dyDescent="0.25">
      <c r="A65" s="29" t="s">
        <v>103</v>
      </c>
      <c r="B65" s="20" t="s">
        <v>36</v>
      </c>
      <c r="C65" s="21" t="s">
        <v>98</v>
      </c>
      <c r="D65" s="22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</row>
    <row r="66" spans="1:117" s="36" customFormat="1" ht="15.75" x14ac:dyDescent="0.25">
      <c r="A66" s="29" t="s">
        <v>104</v>
      </c>
      <c r="B66" s="20" t="s">
        <v>36</v>
      </c>
      <c r="C66" s="21" t="s">
        <v>98</v>
      </c>
      <c r="D66" s="22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</row>
    <row r="67" spans="1:117" s="36" customFormat="1" ht="15.75" x14ac:dyDescent="0.25">
      <c r="A67" s="29" t="s">
        <v>105</v>
      </c>
      <c r="B67" s="20" t="s">
        <v>36</v>
      </c>
      <c r="C67" s="21" t="s">
        <v>98</v>
      </c>
      <c r="D67" s="22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</row>
    <row r="68" spans="1:117" s="36" customFormat="1" ht="15.75" x14ac:dyDescent="0.25">
      <c r="A68" s="29" t="s">
        <v>106</v>
      </c>
      <c r="B68" s="20" t="s">
        <v>36</v>
      </c>
      <c r="C68" s="21" t="s">
        <v>98</v>
      </c>
      <c r="D68" s="22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</row>
    <row r="69" spans="1:117" s="36" customFormat="1" ht="15.75" x14ac:dyDescent="0.25">
      <c r="A69" s="29" t="s">
        <v>107</v>
      </c>
      <c r="B69" s="20" t="s">
        <v>36</v>
      </c>
      <c r="C69" s="21" t="s">
        <v>98</v>
      </c>
      <c r="D69" s="22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</row>
    <row r="70" spans="1:117" s="36" customFormat="1" ht="15.75" x14ac:dyDescent="0.25">
      <c r="A70" s="29" t="s">
        <v>108</v>
      </c>
      <c r="B70" s="20" t="s">
        <v>36</v>
      </c>
      <c r="C70" s="21" t="s">
        <v>98</v>
      </c>
      <c r="D70" s="22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</row>
    <row r="71" spans="1:117" s="36" customFormat="1" ht="15.75" x14ac:dyDescent="0.25">
      <c r="A71" s="29" t="s">
        <v>109</v>
      </c>
      <c r="B71" s="20" t="s">
        <v>36</v>
      </c>
      <c r="C71" s="21" t="s">
        <v>98</v>
      </c>
      <c r="D71" s="22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</row>
    <row r="72" spans="1:117" s="36" customFormat="1" ht="15.75" x14ac:dyDescent="0.25">
      <c r="A72" s="29" t="s">
        <v>110</v>
      </c>
      <c r="B72" s="20" t="s">
        <v>36</v>
      </c>
      <c r="C72" s="21" t="s">
        <v>98</v>
      </c>
      <c r="D72" s="2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</row>
    <row r="73" spans="1:117" s="36" customFormat="1" ht="15.75" x14ac:dyDescent="0.25">
      <c r="A73" s="29" t="s">
        <v>222</v>
      </c>
      <c r="B73" s="20" t="s">
        <v>36</v>
      </c>
      <c r="C73" s="21" t="s">
        <v>98</v>
      </c>
      <c r="D73" s="22" t="s">
        <v>223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</row>
    <row r="74" spans="1:117" s="36" customFormat="1" ht="15.75" x14ac:dyDescent="0.25">
      <c r="A74" s="29" t="s">
        <v>111</v>
      </c>
      <c r="B74" s="20" t="s">
        <v>36</v>
      </c>
      <c r="C74" s="21" t="s">
        <v>98</v>
      </c>
      <c r="D74" s="22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</row>
    <row r="75" spans="1:117" s="36" customFormat="1" ht="15.75" x14ac:dyDescent="0.25">
      <c r="A75" s="29" t="s">
        <v>112</v>
      </c>
      <c r="B75" s="20" t="s">
        <v>36</v>
      </c>
      <c r="C75" s="21" t="s">
        <v>98</v>
      </c>
      <c r="D75" s="22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</row>
    <row r="76" spans="1:117" s="36" customFormat="1" ht="18" customHeight="1" x14ac:dyDescent="0.25">
      <c r="A76" s="29" t="s">
        <v>113</v>
      </c>
      <c r="B76" s="20" t="s">
        <v>36</v>
      </c>
      <c r="C76" s="21" t="s">
        <v>98</v>
      </c>
      <c r="D76" s="22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</row>
    <row r="77" spans="1:117" s="36" customFormat="1" ht="18.75" customHeight="1" x14ac:dyDescent="0.25">
      <c r="A77" s="29" t="s">
        <v>114</v>
      </c>
      <c r="B77" s="20" t="s">
        <v>36</v>
      </c>
      <c r="C77" s="21" t="s">
        <v>98</v>
      </c>
      <c r="D77" s="22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</row>
    <row r="78" spans="1:117" s="36" customFormat="1" ht="15.75" x14ac:dyDescent="0.25">
      <c r="A78" s="30" t="s">
        <v>115</v>
      </c>
      <c r="B78" s="20" t="s">
        <v>36</v>
      </c>
      <c r="C78" s="21" t="s">
        <v>98</v>
      </c>
      <c r="D78" s="22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</row>
    <row r="79" spans="1:117" s="36" customFormat="1" ht="15.75" x14ac:dyDescent="0.25">
      <c r="A79" s="30" t="s">
        <v>116</v>
      </c>
      <c r="B79" s="20" t="s">
        <v>36</v>
      </c>
      <c r="C79" s="21" t="s">
        <v>98</v>
      </c>
      <c r="D79" s="22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</row>
    <row r="80" spans="1:117" s="36" customFormat="1" ht="15.75" x14ac:dyDescent="0.25">
      <c r="A80" s="30" t="s">
        <v>117</v>
      </c>
      <c r="B80" s="20" t="s">
        <v>36</v>
      </c>
      <c r="C80" s="21" t="s">
        <v>98</v>
      </c>
      <c r="D80" s="22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</row>
    <row r="81" spans="1:117" s="36" customFormat="1" ht="15.75" x14ac:dyDescent="0.25">
      <c r="A81" s="30" t="s">
        <v>118</v>
      </c>
      <c r="B81" s="20" t="s">
        <v>36</v>
      </c>
      <c r="C81" s="21" t="s">
        <v>98</v>
      </c>
      <c r="D81" s="22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</row>
    <row r="82" spans="1:117" s="36" customFormat="1" ht="15.75" x14ac:dyDescent="0.25">
      <c r="A82" s="30" t="s">
        <v>119</v>
      </c>
      <c r="B82" s="20" t="s">
        <v>36</v>
      </c>
      <c r="C82" s="21" t="s">
        <v>98</v>
      </c>
      <c r="D82" s="2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</row>
    <row r="83" spans="1:117" s="36" customFormat="1" ht="15.75" x14ac:dyDescent="0.25">
      <c r="A83" s="30" t="s">
        <v>120</v>
      </c>
      <c r="B83" s="20" t="s">
        <v>36</v>
      </c>
      <c r="C83" s="21" t="s">
        <v>98</v>
      </c>
      <c r="D83" s="22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</row>
    <row r="84" spans="1:117" s="36" customFormat="1" ht="15.75" x14ac:dyDescent="0.25">
      <c r="A84" s="30" t="s">
        <v>121</v>
      </c>
      <c r="B84" s="20" t="s">
        <v>36</v>
      </c>
      <c r="C84" s="21" t="s">
        <v>98</v>
      </c>
      <c r="D84" s="22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</row>
    <row r="85" spans="1:117" s="36" customFormat="1" ht="15.75" x14ac:dyDescent="0.25">
      <c r="A85" s="30" t="s">
        <v>122</v>
      </c>
      <c r="B85" s="20" t="s">
        <v>36</v>
      </c>
      <c r="C85" s="21" t="s">
        <v>98</v>
      </c>
      <c r="D85" s="22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</row>
    <row r="86" spans="1:117" s="36" customFormat="1" ht="15.75" x14ac:dyDescent="0.25">
      <c r="A86" s="30" t="s">
        <v>123</v>
      </c>
      <c r="B86" s="20" t="s">
        <v>36</v>
      </c>
      <c r="C86" s="21" t="s">
        <v>98</v>
      </c>
      <c r="D86" s="22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</row>
    <row r="87" spans="1:117" s="36" customFormat="1" ht="15.75" x14ac:dyDescent="0.25">
      <c r="A87" s="28" t="s">
        <v>124</v>
      </c>
      <c r="B87" s="20" t="s">
        <v>36</v>
      </c>
      <c r="C87" s="21" t="s">
        <v>98</v>
      </c>
      <c r="D87" s="22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</row>
    <row r="88" spans="1:117" s="36" customFormat="1" ht="15.75" x14ac:dyDescent="0.25">
      <c r="A88" s="31" t="s">
        <v>125</v>
      </c>
      <c r="B88" s="20" t="s">
        <v>36</v>
      </c>
      <c r="C88" s="21" t="s">
        <v>126</v>
      </c>
      <c r="D88" s="22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</row>
    <row r="89" spans="1:117" s="36" customFormat="1" ht="15.75" x14ac:dyDescent="0.25">
      <c r="A89" s="31" t="s">
        <v>127</v>
      </c>
      <c r="B89" s="20" t="s">
        <v>36</v>
      </c>
      <c r="C89" s="21" t="s">
        <v>126</v>
      </c>
      <c r="D89" s="22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</row>
    <row r="90" spans="1:117" s="36" customFormat="1" ht="15.75" x14ac:dyDescent="0.25">
      <c r="A90" s="31" t="s">
        <v>128</v>
      </c>
      <c r="B90" s="20" t="s">
        <v>36</v>
      </c>
      <c r="C90" s="21" t="s">
        <v>126</v>
      </c>
      <c r="D90" s="22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</row>
    <row r="91" spans="1:117" s="36" customFormat="1" ht="15.75" x14ac:dyDescent="0.25">
      <c r="A91" s="31" t="s">
        <v>129</v>
      </c>
      <c r="B91" s="20" t="s">
        <v>36</v>
      </c>
      <c r="C91" s="21" t="s">
        <v>126</v>
      </c>
      <c r="D91" s="22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</row>
    <row r="92" spans="1:117" s="36" customFormat="1" ht="15.75" x14ac:dyDescent="0.25">
      <c r="A92" s="31" t="s">
        <v>130</v>
      </c>
      <c r="B92" s="20" t="s">
        <v>36</v>
      </c>
      <c r="C92" s="21" t="s">
        <v>126</v>
      </c>
      <c r="D92" s="2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</row>
    <row r="93" spans="1:117" s="36" customFormat="1" ht="15.75" x14ac:dyDescent="0.25">
      <c r="A93" s="31" t="s">
        <v>131</v>
      </c>
      <c r="B93" s="20" t="s">
        <v>36</v>
      </c>
      <c r="C93" s="21" t="s">
        <v>126</v>
      </c>
      <c r="D93" s="22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</row>
    <row r="94" spans="1:117" s="36" customFormat="1" ht="15.75" x14ac:dyDescent="0.25">
      <c r="A94" s="31" t="s">
        <v>132</v>
      </c>
      <c r="B94" s="20" t="s">
        <v>36</v>
      </c>
      <c r="C94" s="21" t="s">
        <v>126</v>
      </c>
      <c r="D94" s="22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</row>
    <row r="95" spans="1:117" s="36" customFormat="1" ht="15.75" x14ac:dyDescent="0.25">
      <c r="A95" s="31" t="s">
        <v>133</v>
      </c>
      <c r="B95" s="20" t="s">
        <v>36</v>
      </c>
      <c r="C95" s="21" t="s">
        <v>126</v>
      </c>
      <c r="D95" s="22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</row>
    <row r="96" spans="1:117" s="36" customFormat="1" ht="15.75" x14ac:dyDescent="0.25">
      <c r="A96" s="31" t="s">
        <v>134</v>
      </c>
      <c r="B96" s="20" t="s">
        <v>36</v>
      </c>
      <c r="C96" s="21" t="s">
        <v>135</v>
      </c>
      <c r="D96" s="22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</row>
    <row r="97" spans="1:117" s="36" customFormat="1" ht="15.75" x14ac:dyDescent="0.25">
      <c r="A97" s="31" t="s">
        <v>136</v>
      </c>
      <c r="B97" s="20" t="s">
        <v>36</v>
      </c>
      <c r="C97" s="21" t="s">
        <v>135</v>
      </c>
      <c r="D97" s="22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</row>
    <row r="98" spans="1:117" s="36" customFormat="1" ht="15.75" x14ac:dyDescent="0.25">
      <c r="A98" s="31" t="s">
        <v>137</v>
      </c>
      <c r="B98" s="20" t="s">
        <v>36</v>
      </c>
      <c r="C98" s="21" t="s">
        <v>135</v>
      </c>
      <c r="D98" s="22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</row>
    <row r="99" spans="1:117" s="36" customFormat="1" ht="12" customHeight="1" x14ac:dyDescent="0.25">
      <c r="A99" s="31" t="s">
        <v>138</v>
      </c>
      <c r="B99" s="20" t="s">
        <v>36</v>
      </c>
      <c r="C99" s="21" t="s">
        <v>135</v>
      </c>
      <c r="D99" s="22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</row>
    <row r="100" spans="1:117" s="36" customFormat="1" ht="15.75" customHeight="1" x14ac:dyDescent="0.25">
      <c r="A100" s="31" t="s">
        <v>139</v>
      </c>
      <c r="B100" s="20" t="s">
        <v>36</v>
      </c>
      <c r="C100" s="21" t="s">
        <v>135</v>
      </c>
      <c r="D100" s="22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</row>
    <row r="101" spans="1:117" s="36" customFormat="1" ht="18.75" customHeight="1" x14ac:dyDescent="0.25">
      <c r="A101" s="31" t="s">
        <v>140</v>
      </c>
      <c r="B101" s="20" t="s">
        <v>36</v>
      </c>
      <c r="C101" s="21" t="s">
        <v>135</v>
      </c>
      <c r="D101" s="22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</row>
    <row r="102" spans="1:117" s="36" customFormat="1" ht="21" customHeight="1" x14ac:dyDescent="0.25">
      <c r="A102" s="31" t="s">
        <v>141</v>
      </c>
      <c r="B102" s="20" t="s">
        <v>36</v>
      </c>
      <c r="C102" s="21" t="s">
        <v>135</v>
      </c>
      <c r="D102" s="2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</row>
    <row r="103" spans="1:117" s="36" customFormat="1" ht="15.75" customHeight="1" x14ac:dyDescent="0.25">
      <c r="A103" s="31" t="s">
        <v>142</v>
      </c>
      <c r="B103" s="20" t="s">
        <v>36</v>
      </c>
      <c r="C103" s="21" t="s">
        <v>135</v>
      </c>
      <c r="D103" s="22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</row>
    <row r="104" spans="1:117" s="36" customFormat="1" ht="15.75" x14ac:dyDescent="0.25">
      <c r="A104" s="31" t="s">
        <v>143</v>
      </c>
      <c r="B104" s="20" t="s">
        <v>36</v>
      </c>
      <c r="C104" s="21" t="s">
        <v>135</v>
      </c>
      <c r="D104" s="22" t="s">
        <v>242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</row>
    <row r="105" spans="1:117" s="36" customFormat="1" ht="15.75" x14ac:dyDescent="0.25">
      <c r="A105" s="31" t="s">
        <v>144</v>
      </c>
      <c r="B105" s="20" t="s">
        <v>36</v>
      </c>
      <c r="C105" s="21" t="s">
        <v>135</v>
      </c>
      <c r="D105" s="22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</row>
    <row r="106" spans="1:117" s="36" customFormat="1" ht="15.75" x14ac:dyDescent="0.25">
      <c r="A106" s="31" t="s">
        <v>145</v>
      </c>
      <c r="B106" s="20" t="s">
        <v>36</v>
      </c>
      <c r="C106" s="21" t="s">
        <v>135</v>
      </c>
      <c r="D106" s="22" t="s">
        <v>241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</row>
    <row r="107" spans="1:117" s="36" customFormat="1" ht="18.75" customHeight="1" x14ac:dyDescent="0.25">
      <c r="A107" s="31" t="s">
        <v>146</v>
      </c>
      <c r="B107" s="20" t="s">
        <v>36</v>
      </c>
      <c r="C107" s="21" t="s">
        <v>135</v>
      </c>
      <c r="D107" s="22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</row>
    <row r="108" spans="1:117" s="36" customFormat="1" ht="18.75" customHeight="1" x14ac:dyDescent="0.25">
      <c r="A108" s="31"/>
      <c r="B108" s="20" t="s">
        <v>36</v>
      </c>
      <c r="C108" s="21" t="s">
        <v>135</v>
      </c>
      <c r="D108" s="22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</row>
    <row r="109" spans="1:117" s="36" customFormat="1" ht="20.25" customHeight="1" x14ac:dyDescent="0.25">
      <c r="A109" s="31" t="s">
        <v>147</v>
      </c>
      <c r="B109" s="20" t="s">
        <v>36</v>
      </c>
      <c r="C109" s="21" t="s">
        <v>135</v>
      </c>
      <c r="D109" s="22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</row>
    <row r="110" spans="1:117" s="36" customFormat="1" ht="17.25" customHeight="1" x14ac:dyDescent="0.25">
      <c r="A110" s="28" t="s">
        <v>148</v>
      </c>
      <c r="B110" s="20" t="s">
        <v>36</v>
      </c>
      <c r="C110" s="21" t="s">
        <v>149</v>
      </c>
      <c r="D110" s="22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</row>
    <row r="111" spans="1:117" s="36" customFormat="1" ht="16.5" customHeight="1" x14ac:dyDescent="0.25">
      <c r="A111" s="32" t="s">
        <v>150</v>
      </c>
      <c r="B111" s="20" t="s">
        <v>36</v>
      </c>
      <c r="C111" s="21" t="s">
        <v>151</v>
      </c>
      <c r="D111" s="22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</row>
    <row r="112" spans="1:117" s="36" customFormat="1" ht="14.25" customHeight="1" x14ac:dyDescent="0.25">
      <c r="A112" s="28" t="s">
        <v>152</v>
      </c>
      <c r="B112" s="20" t="s">
        <v>36</v>
      </c>
      <c r="C112" s="21" t="s">
        <v>151</v>
      </c>
      <c r="D112" s="2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</row>
    <row r="113" spans="1:117" s="36" customFormat="1" ht="15.75" x14ac:dyDescent="0.25">
      <c r="A113" s="28" t="s">
        <v>153</v>
      </c>
      <c r="B113" s="20" t="s">
        <v>36</v>
      </c>
      <c r="C113" s="21" t="s">
        <v>151</v>
      </c>
      <c r="D113" s="22" t="s">
        <v>240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</row>
    <row r="114" spans="1:117" s="36" customFormat="1" ht="15.75" x14ac:dyDescent="0.25">
      <c r="A114" s="28" t="s">
        <v>154</v>
      </c>
      <c r="B114" s="20" t="s">
        <v>36</v>
      </c>
      <c r="C114" s="21" t="s">
        <v>151</v>
      </c>
      <c r="D114" s="22" t="s">
        <v>231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</row>
    <row r="115" spans="1:117" s="36" customFormat="1" ht="15.75" x14ac:dyDescent="0.25">
      <c r="A115" s="28" t="s">
        <v>155</v>
      </c>
      <c r="B115" s="20" t="s">
        <v>36</v>
      </c>
      <c r="C115" s="21" t="s">
        <v>151</v>
      </c>
      <c r="D115" s="22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</row>
    <row r="116" spans="1:117" s="36" customFormat="1" ht="15.75" x14ac:dyDescent="0.25">
      <c r="A116" s="28" t="s">
        <v>156</v>
      </c>
      <c r="B116" s="20" t="s">
        <v>36</v>
      </c>
      <c r="C116" s="21" t="s">
        <v>151</v>
      </c>
      <c r="D116" s="22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</row>
    <row r="117" spans="1:117" s="36" customFormat="1" ht="18.75" customHeight="1" x14ac:dyDescent="0.25">
      <c r="A117" s="28" t="s">
        <v>157</v>
      </c>
      <c r="B117" s="20" t="s">
        <v>36</v>
      </c>
      <c r="C117" s="21" t="s">
        <v>151</v>
      </c>
      <c r="D117" s="22" t="s">
        <v>230</v>
      </c>
      <c r="E117" s="40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</row>
    <row r="118" spans="1:117" s="36" customFormat="1" ht="18" customHeight="1" x14ac:dyDescent="0.25">
      <c r="A118" s="28" t="s">
        <v>158</v>
      </c>
      <c r="B118" s="20" t="s">
        <v>36</v>
      </c>
      <c r="C118" s="21" t="s">
        <v>151</v>
      </c>
      <c r="D118" s="22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</row>
    <row r="119" spans="1:117" s="36" customFormat="1" ht="16.5" customHeight="1" x14ac:dyDescent="0.25">
      <c r="A119" s="28" t="s">
        <v>159</v>
      </c>
      <c r="B119" s="20" t="s">
        <v>36</v>
      </c>
      <c r="C119" s="21" t="s">
        <v>151</v>
      </c>
      <c r="D119" s="22" t="s">
        <v>229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</row>
    <row r="120" spans="1:117" s="36" customFormat="1" ht="15" customHeight="1" x14ac:dyDescent="0.25">
      <c r="A120" s="28" t="s">
        <v>160</v>
      </c>
      <c r="B120" s="20" t="s">
        <v>36</v>
      </c>
      <c r="C120" s="21" t="s">
        <v>151</v>
      </c>
      <c r="D120" s="22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</row>
    <row r="121" spans="1:117" s="36" customFormat="1" ht="14.25" customHeight="1" x14ac:dyDescent="0.25">
      <c r="A121" s="28" t="s">
        <v>161</v>
      </c>
      <c r="B121" s="20" t="s">
        <v>36</v>
      </c>
      <c r="C121" s="21" t="s">
        <v>151</v>
      </c>
      <c r="D121" s="22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</row>
    <row r="122" spans="1:117" s="36" customFormat="1" ht="13.5" customHeight="1" x14ac:dyDescent="0.25">
      <c r="A122" s="28" t="s">
        <v>162</v>
      </c>
      <c r="B122" s="20" t="s">
        <v>163</v>
      </c>
      <c r="C122" s="21" t="s">
        <v>151</v>
      </c>
      <c r="D122" s="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</row>
    <row r="123" spans="1:117" s="36" customFormat="1" ht="21.75" customHeight="1" x14ac:dyDescent="0.25">
      <c r="A123" s="28" t="s">
        <v>164</v>
      </c>
      <c r="B123" s="20" t="s">
        <v>36</v>
      </c>
      <c r="C123" s="21" t="s">
        <v>151</v>
      </c>
      <c r="D123" s="22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</row>
    <row r="124" spans="1:117" s="36" customFormat="1" ht="18.75" customHeight="1" x14ac:dyDescent="0.25">
      <c r="A124" s="28" t="s">
        <v>165</v>
      </c>
      <c r="B124" s="20" t="s">
        <v>36</v>
      </c>
      <c r="C124" s="21" t="s">
        <v>151</v>
      </c>
      <c r="D124" s="22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</row>
    <row r="125" spans="1:117" s="36" customFormat="1" ht="18.75" customHeight="1" x14ac:dyDescent="0.25">
      <c r="A125" s="28" t="s">
        <v>166</v>
      </c>
      <c r="B125" s="20" t="s">
        <v>36</v>
      </c>
      <c r="C125" s="21" t="s">
        <v>151</v>
      </c>
      <c r="D125" s="22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</row>
    <row r="126" spans="1:117" s="36" customFormat="1" ht="15.75" x14ac:dyDescent="0.25">
      <c r="A126" s="28" t="s">
        <v>167</v>
      </c>
      <c r="B126" s="20" t="s">
        <v>36</v>
      </c>
      <c r="C126" s="21" t="s">
        <v>151</v>
      </c>
      <c r="D126" s="22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</row>
    <row r="127" spans="1:117" s="36" customFormat="1" ht="14.25" customHeight="1" x14ac:dyDescent="0.25">
      <c r="A127" s="28" t="s">
        <v>168</v>
      </c>
      <c r="B127" s="20" t="s">
        <v>36</v>
      </c>
      <c r="C127" s="21" t="s">
        <v>151</v>
      </c>
      <c r="D127" s="22" t="s">
        <v>228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</row>
    <row r="128" spans="1:117" s="36" customFormat="1" ht="13.5" customHeight="1" x14ac:dyDescent="0.25">
      <c r="A128" s="28" t="s">
        <v>169</v>
      </c>
      <c r="B128" s="20" t="s">
        <v>36</v>
      </c>
      <c r="C128" s="21" t="s">
        <v>151</v>
      </c>
      <c r="D128" s="22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</row>
    <row r="129" spans="1:117" s="36" customFormat="1" ht="17.25" customHeight="1" x14ac:dyDescent="0.25">
      <c r="A129" s="28" t="s">
        <v>170</v>
      </c>
      <c r="B129" s="20" t="s">
        <v>36</v>
      </c>
      <c r="C129" s="21" t="s">
        <v>151</v>
      </c>
      <c r="D129" s="22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</row>
    <row r="130" spans="1:117" s="36" customFormat="1" ht="15.75" x14ac:dyDescent="0.25">
      <c r="A130" s="28" t="s">
        <v>171</v>
      </c>
      <c r="B130" s="20" t="s">
        <v>36</v>
      </c>
      <c r="C130" s="21" t="s">
        <v>172</v>
      </c>
      <c r="D130" s="22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</row>
    <row r="131" spans="1:117" s="36" customFormat="1" ht="14.25" customHeight="1" x14ac:dyDescent="0.25">
      <c r="A131" s="28" t="s">
        <v>173</v>
      </c>
      <c r="B131" s="20" t="s">
        <v>36</v>
      </c>
      <c r="C131" s="21" t="s">
        <v>172</v>
      </c>
      <c r="D131" s="22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</row>
    <row r="132" spans="1:117" s="36" customFormat="1" ht="17.25" customHeight="1" x14ac:dyDescent="0.25">
      <c r="A132" s="28" t="s">
        <v>174</v>
      </c>
      <c r="B132" s="20" t="s">
        <v>36</v>
      </c>
      <c r="C132" s="21" t="s">
        <v>172</v>
      </c>
      <c r="D132" s="2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</row>
    <row r="133" spans="1:117" s="36" customFormat="1" ht="15.75" x14ac:dyDescent="0.25">
      <c r="A133" s="28" t="s">
        <v>175</v>
      </c>
      <c r="B133" s="20" t="s">
        <v>36</v>
      </c>
      <c r="C133" s="21" t="s">
        <v>176</v>
      </c>
      <c r="D133" s="22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</row>
    <row r="134" spans="1:117" s="36" customFormat="1" ht="15.75" x14ac:dyDescent="0.25">
      <c r="A134" s="28" t="s">
        <v>177</v>
      </c>
      <c r="B134" s="20" t="s">
        <v>36</v>
      </c>
      <c r="C134" s="21" t="s">
        <v>178</v>
      </c>
      <c r="D134" s="22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</row>
    <row r="135" spans="1:117" s="36" customFormat="1" ht="15.75" x14ac:dyDescent="0.25">
      <c r="A135" s="28" t="s">
        <v>179</v>
      </c>
      <c r="B135" s="20" t="s">
        <v>36</v>
      </c>
      <c r="C135" s="21" t="s">
        <v>178</v>
      </c>
      <c r="D135" s="22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</row>
    <row r="136" spans="1:117" s="36" customFormat="1" ht="15.75" x14ac:dyDescent="0.25">
      <c r="A136" s="28" t="s">
        <v>180</v>
      </c>
      <c r="B136" s="20" t="s">
        <v>36</v>
      </c>
      <c r="C136" s="21" t="s">
        <v>181</v>
      </c>
      <c r="D136" s="22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</row>
    <row r="137" spans="1:117" s="36" customFormat="1" ht="17.25" customHeight="1" x14ac:dyDescent="0.25">
      <c r="A137" s="28" t="s">
        <v>182</v>
      </c>
      <c r="B137" s="20" t="s">
        <v>36</v>
      </c>
      <c r="C137" s="21" t="s">
        <v>181</v>
      </c>
      <c r="D137" s="22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</row>
    <row r="138" spans="1:117" s="36" customFormat="1" ht="15.75" x14ac:dyDescent="0.25">
      <c r="A138" s="19" t="s">
        <v>183</v>
      </c>
      <c r="B138" s="20" t="s">
        <v>36</v>
      </c>
      <c r="C138" s="21" t="s">
        <v>149</v>
      </c>
      <c r="D138" s="22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</row>
    <row r="139" spans="1:117" s="36" customFormat="1" ht="15.75" x14ac:dyDescent="0.25">
      <c r="A139" s="19" t="s">
        <v>184</v>
      </c>
      <c r="B139" s="20" t="s">
        <v>36</v>
      </c>
      <c r="C139" s="21" t="s">
        <v>149</v>
      </c>
      <c r="D139" s="22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</row>
    <row r="140" spans="1:117" s="36" customFormat="1" ht="15.75" x14ac:dyDescent="0.25">
      <c r="A140" s="36" t="s">
        <v>185</v>
      </c>
      <c r="B140" s="20" t="s">
        <v>36</v>
      </c>
      <c r="C140" s="21" t="s">
        <v>185</v>
      </c>
      <c r="D140" s="22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</row>
    <row r="141" spans="1:117" s="36" customFormat="1" ht="15.75" x14ac:dyDescent="0.25">
      <c r="A141" s="36" t="s">
        <v>186</v>
      </c>
      <c r="B141" s="20" t="s">
        <v>36</v>
      </c>
      <c r="C141" s="21" t="s">
        <v>187</v>
      </c>
      <c r="D141" s="22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</row>
    <row r="142" spans="1:117" s="36" customFormat="1" ht="15.75" x14ac:dyDescent="0.25">
      <c r="A142" s="28" t="s">
        <v>188</v>
      </c>
      <c r="B142" s="20" t="s">
        <v>36</v>
      </c>
      <c r="C142" s="21" t="s">
        <v>151</v>
      </c>
      <c r="D142" s="22" t="s">
        <v>235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</row>
    <row r="143" spans="1:117" s="36" customFormat="1" ht="15.75" x14ac:dyDescent="0.25">
      <c r="A143" s="28" t="s">
        <v>189</v>
      </c>
      <c r="B143" s="20" t="s">
        <v>36</v>
      </c>
      <c r="C143" s="21" t="s">
        <v>151</v>
      </c>
      <c r="D143" s="22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</row>
    <row r="144" spans="1:117" s="36" customFormat="1" ht="15.75" x14ac:dyDescent="0.25">
      <c r="A144" s="28" t="s">
        <v>190</v>
      </c>
      <c r="B144" s="20" t="s">
        <v>36</v>
      </c>
      <c r="C144" s="21" t="s">
        <v>151</v>
      </c>
      <c r="D144" s="22" t="s">
        <v>239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</row>
    <row r="145" spans="1:117" s="36" customFormat="1" ht="15.75" x14ac:dyDescent="0.25">
      <c r="A145" s="28" t="s">
        <v>191</v>
      </c>
      <c r="B145" s="20" t="s">
        <v>36</v>
      </c>
      <c r="C145" s="21" t="s">
        <v>151</v>
      </c>
      <c r="D145" s="22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</row>
    <row r="146" spans="1:117" s="36" customFormat="1" ht="15.75" x14ac:dyDescent="0.25">
      <c r="A146" s="33" t="s">
        <v>192</v>
      </c>
      <c r="B146" s="25" t="s">
        <v>36</v>
      </c>
      <c r="C146" s="26" t="s">
        <v>151</v>
      </c>
      <c r="D146" s="22" t="s">
        <v>236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</row>
    <row r="147" spans="1:117" s="36" customFormat="1" ht="15.75" x14ac:dyDescent="0.25">
      <c r="A147" s="33" t="s">
        <v>193</v>
      </c>
      <c r="B147" s="25" t="s">
        <v>36</v>
      </c>
      <c r="C147" s="26" t="s">
        <v>151</v>
      </c>
      <c r="D147" s="22" t="s">
        <v>232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</row>
    <row r="148" spans="1:117" s="36" customFormat="1" ht="15.75" x14ac:dyDescent="0.25">
      <c r="A148" s="28" t="s">
        <v>194</v>
      </c>
      <c r="B148" s="20" t="s">
        <v>36</v>
      </c>
      <c r="C148" s="21" t="s">
        <v>151</v>
      </c>
      <c r="D148" s="22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</row>
    <row r="149" spans="1:117" s="36" customFormat="1" ht="16.5" customHeight="1" x14ac:dyDescent="0.25">
      <c r="A149" s="28" t="s">
        <v>195</v>
      </c>
      <c r="B149" s="20" t="s">
        <v>36</v>
      </c>
      <c r="C149" s="21" t="s">
        <v>151</v>
      </c>
      <c r="D149" s="22" t="s">
        <v>238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</row>
    <row r="150" spans="1:117" ht="15.75" x14ac:dyDescent="0.25">
      <c r="A150" s="41" t="s">
        <v>196</v>
      </c>
      <c r="B150" s="42" t="s">
        <v>36</v>
      </c>
      <c r="C150" s="43" t="s">
        <v>151</v>
      </c>
      <c r="D150" s="22" t="s">
        <v>237</v>
      </c>
    </row>
    <row r="151" spans="1:117" ht="15.75" x14ac:dyDescent="0.25">
      <c r="A151" s="41" t="s">
        <v>233</v>
      </c>
      <c r="B151" s="42" t="s">
        <v>36</v>
      </c>
      <c r="C151" s="43" t="s">
        <v>151</v>
      </c>
      <c r="D151" s="48" t="s">
        <v>234</v>
      </c>
    </row>
    <row r="152" spans="1:117" ht="15.75" x14ac:dyDescent="0.25">
      <c r="A152" s="45"/>
      <c r="B152" s="46"/>
      <c r="C152" s="47"/>
      <c r="D152" s="48"/>
    </row>
    <row r="153" spans="1:117" x14ac:dyDescent="0.25">
      <c r="D153"/>
    </row>
    <row r="154" spans="1:117" x14ac:dyDescent="0.25">
      <c r="D154"/>
    </row>
    <row r="155" spans="1:117" x14ac:dyDescent="0.25">
      <c r="D155"/>
    </row>
    <row r="156" spans="1:117" x14ac:dyDescent="0.25">
      <c r="D156"/>
    </row>
    <row r="157" spans="1:117" x14ac:dyDescent="0.25">
      <c r="D157"/>
    </row>
    <row r="158" spans="1:117" x14ac:dyDescent="0.25">
      <c r="D158"/>
    </row>
    <row r="159" spans="1:117" x14ac:dyDescent="0.25">
      <c r="D159"/>
    </row>
    <row r="160" spans="1:117" x14ac:dyDescent="0.25">
      <c r="D160"/>
    </row>
    <row r="161" spans="4:4" x14ac:dyDescent="0.25">
      <c r="D161"/>
    </row>
    <row r="162" spans="4:4" x14ac:dyDescent="0.25">
      <c r="D162"/>
    </row>
    <row r="163" spans="4:4" x14ac:dyDescent="0.25">
      <c r="D163"/>
    </row>
    <row r="164" spans="4:4" x14ac:dyDescent="0.25">
      <c r="D164"/>
    </row>
    <row r="165" spans="4:4" x14ac:dyDescent="0.25">
      <c r="D165"/>
    </row>
    <row r="166" spans="4:4" x14ac:dyDescent="0.25">
      <c r="D166"/>
    </row>
    <row r="167" spans="4:4" x14ac:dyDescent="0.25">
      <c r="D167"/>
    </row>
    <row r="168" spans="4:4" x14ac:dyDescent="0.25">
      <c r="D168"/>
    </row>
    <row r="169" spans="4:4" x14ac:dyDescent="0.25">
      <c r="D169"/>
    </row>
    <row r="170" spans="4:4" x14ac:dyDescent="0.25">
      <c r="D170"/>
    </row>
    <row r="171" spans="4:4" x14ac:dyDescent="0.25">
      <c r="D171"/>
    </row>
    <row r="172" spans="4:4" x14ac:dyDescent="0.25">
      <c r="D172"/>
    </row>
    <row r="173" spans="4:4" x14ac:dyDescent="0.25">
      <c r="D173"/>
    </row>
    <row r="174" spans="4:4" x14ac:dyDescent="0.25">
      <c r="D174"/>
    </row>
    <row r="175" spans="4:4" x14ac:dyDescent="0.25">
      <c r="D175"/>
    </row>
    <row r="176" spans="4:4" x14ac:dyDescent="0.25">
      <c r="D176"/>
    </row>
    <row r="177" spans="4:4" x14ac:dyDescent="0.25">
      <c r="D177"/>
    </row>
    <row r="178" spans="4:4" x14ac:dyDescent="0.25">
      <c r="D178"/>
    </row>
    <row r="179" spans="4:4" x14ac:dyDescent="0.25">
      <c r="D179"/>
    </row>
    <row r="180" spans="4:4" x14ac:dyDescent="0.25">
      <c r="D180"/>
    </row>
    <row r="181" spans="4:4" x14ac:dyDescent="0.25">
      <c r="D181"/>
    </row>
    <row r="182" spans="4:4" x14ac:dyDescent="0.25">
      <c r="D182"/>
    </row>
    <row r="183" spans="4:4" x14ac:dyDescent="0.25">
      <c r="D183"/>
    </row>
    <row r="184" spans="4:4" x14ac:dyDescent="0.25">
      <c r="D184"/>
    </row>
    <row r="185" spans="4:4" x14ac:dyDescent="0.25">
      <c r="D185"/>
    </row>
    <row r="186" spans="4:4" x14ac:dyDescent="0.25">
      <c r="D186"/>
    </row>
    <row r="187" spans="4:4" x14ac:dyDescent="0.25">
      <c r="D187"/>
    </row>
    <row r="188" spans="4:4" x14ac:dyDescent="0.25">
      <c r="D188"/>
    </row>
    <row r="189" spans="4:4" x14ac:dyDescent="0.25">
      <c r="D189"/>
    </row>
    <row r="190" spans="4:4" x14ac:dyDescent="0.25">
      <c r="D190"/>
    </row>
    <row r="191" spans="4:4" x14ac:dyDescent="0.25">
      <c r="D191"/>
    </row>
    <row r="192" spans="4:4" x14ac:dyDescent="0.25">
      <c r="D192"/>
    </row>
    <row r="193" spans="4:4" x14ac:dyDescent="0.25">
      <c r="D193"/>
    </row>
    <row r="194" spans="4:4" x14ac:dyDescent="0.25">
      <c r="D194"/>
    </row>
    <row r="195" spans="4:4" x14ac:dyDescent="0.25">
      <c r="D195"/>
    </row>
    <row r="196" spans="4:4" x14ac:dyDescent="0.25">
      <c r="D196"/>
    </row>
    <row r="197" spans="4:4" x14ac:dyDescent="0.25">
      <c r="D197"/>
    </row>
    <row r="198" spans="4:4" x14ac:dyDescent="0.25">
      <c r="D198"/>
    </row>
    <row r="199" spans="4:4" x14ac:dyDescent="0.25">
      <c r="D199"/>
    </row>
    <row r="200" spans="4:4" x14ac:dyDescent="0.25">
      <c r="D200"/>
    </row>
    <row r="201" spans="4:4" x14ac:dyDescent="0.25">
      <c r="D201"/>
    </row>
    <row r="202" spans="4:4" x14ac:dyDescent="0.25">
      <c r="D202"/>
    </row>
    <row r="203" spans="4:4" x14ac:dyDescent="0.25">
      <c r="D203"/>
    </row>
    <row r="204" spans="4:4" x14ac:dyDescent="0.25">
      <c r="D204"/>
    </row>
    <row r="205" spans="4:4" x14ac:dyDescent="0.25">
      <c r="D205"/>
    </row>
    <row r="206" spans="4:4" x14ac:dyDescent="0.25">
      <c r="D206"/>
    </row>
    <row r="207" spans="4:4" x14ac:dyDescent="0.25">
      <c r="D207"/>
    </row>
    <row r="208" spans="4:4" x14ac:dyDescent="0.25">
      <c r="D208"/>
    </row>
    <row r="209" spans="4:4" x14ac:dyDescent="0.25">
      <c r="D209"/>
    </row>
    <row r="210" spans="4:4" x14ac:dyDescent="0.25">
      <c r="D210"/>
    </row>
    <row r="211" spans="4:4" x14ac:dyDescent="0.25">
      <c r="D211"/>
    </row>
    <row r="212" spans="4:4" x14ac:dyDescent="0.25">
      <c r="D212"/>
    </row>
    <row r="213" spans="4:4" x14ac:dyDescent="0.25">
      <c r="D213"/>
    </row>
    <row r="214" spans="4:4" x14ac:dyDescent="0.25">
      <c r="D214"/>
    </row>
    <row r="215" spans="4:4" x14ac:dyDescent="0.25">
      <c r="D215"/>
    </row>
    <row r="216" spans="4:4" x14ac:dyDescent="0.25">
      <c r="D216"/>
    </row>
    <row r="217" spans="4:4" x14ac:dyDescent="0.25">
      <c r="D217"/>
    </row>
    <row r="218" spans="4:4" x14ac:dyDescent="0.25">
      <c r="D218"/>
    </row>
    <row r="219" spans="4:4" x14ac:dyDescent="0.25">
      <c r="D219"/>
    </row>
    <row r="220" spans="4:4" x14ac:dyDescent="0.25">
      <c r="D220"/>
    </row>
    <row r="221" spans="4:4" x14ac:dyDescent="0.25">
      <c r="D221"/>
    </row>
    <row r="222" spans="4:4" x14ac:dyDescent="0.25">
      <c r="D222"/>
    </row>
    <row r="223" spans="4:4" x14ac:dyDescent="0.25">
      <c r="D223"/>
    </row>
    <row r="224" spans="4:4" x14ac:dyDescent="0.25">
      <c r="D224"/>
    </row>
    <row r="225" spans="4:4" x14ac:dyDescent="0.25">
      <c r="D225"/>
    </row>
    <row r="226" spans="4:4" x14ac:dyDescent="0.25">
      <c r="D226"/>
    </row>
    <row r="227" spans="4:4" x14ac:dyDescent="0.25">
      <c r="D227"/>
    </row>
    <row r="228" spans="4:4" x14ac:dyDescent="0.25">
      <c r="D228"/>
    </row>
    <row r="229" spans="4:4" x14ac:dyDescent="0.25">
      <c r="D229"/>
    </row>
    <row r="230" spans="4:4" x14ac:dyDescent="0.25">
      <c r="D230"/>
    </row>
    <row r="231" spans="4:4" x14ac:dyDescent="0.25">
      <c r="D231"/>
    </row>
    <row r="232" spans="4:4" x14ac:dyDescent="0.25">
      <c r="D232"/>
    </row>
    <row r="233" spans="4:4" x14ac:dyDescent="0.25">
      <c r="D233"/>
    </row>
    <row r="234" spans="4:4" x14ac:dyDescent="0.25">
      <c r="D234"/>
    </row>
    <row r="235" spans="4:4" x14ac:dyDescent="0.25">
      <c r="D235"/>
    </row>
    <row r="236" spans="4:4" x14ac:dyDescent="0.25">
      <c r="D236"/>
    </row>
    <row r="237" spans="4:4" x14ac:dyDescent="0.25">
      <c r="D237"/>
    </row>
    <row r="238" spans="4:4" x14ac:dyDescent="0.25">
      <c r="D238"/>
    </row>
    <row r="239" spans="4:4" x14ac:dyDescent="0.25">
      <c r="D239"/>
    </row>
    <row r="240" spans="4:4" x14ac:dyDescent="0.25">
      <c r="D240"/>
    </row>
    <row r="241" spans="4:4" x14ac:dyDescent="0.25">
      <c r="D241"/>
    </row>
    <row r="242" spans="4:4" x14ac:dyDescent="0.25">
      <c r="D242"/>
    </row>
    <row r="243" spans="4:4" x14ac:dyDescent="0.25">
      <c r="D243"/>
    </row>
    <row r="244" spans="4:4" x14ac:dyDescent="0.25">
      <c r="D244"/>
    </row>
    <row r="245" spans="4:4" x14ac:dyDescent="0.25">
      <c r="D245"/>
    </row>
    <row r="246" spans="4:4" x14ac:dyDescent="0.25">
      <c r="D246"/>
    </row>
    <row r="247" spans="4:4" x14ac:dyDescent="0.25">
      <c r="D247"/>
    </row>
    <row r="248" spans="4:4" x14ac:dyDescent="0.25">
      <c r="D248"/>
    </row>
    <row r="249" spans="4:4" x14ac:dyDescent="0.25">
      <c r="D249"/>
    </row>
    <row r="250" spans="4:4" x14ac:dyDescent="0.25">
      <c r="D250"/>
    </row>
    <row r="251" spans="4:4" x14ac:dyDescent="0.25">
      <c r="D251"/>
    </row>
    <row r="252" spans="4:4" x14ac:dyDescent="0.25">
      <c r="D252"/>
    </row>
    <row r="253" spans="4:4" x14ac:dyDescent="0.25">
      <c r="D253"/>
    </row>
    <row r="254" spans="4:4" x14ac:dyDescent="0.25">
      <c r="D254"/>
    </row>
    <row r="255" spans="4:4" x14ac:dyDescent="0.25">
      <c r="D255"/>
    </row>
    <row r="256" spans="4:4" x14ac:dyDescent="0.25">
      <c r="D256"/>
    </row>
    <row r="257" spans="4:4" x14ac:dyDescent="0.25">
      <c r="D257"/>
    </row>
    <row r="258" spans="4:4" x14ac:dyDescent="0.25">
      <c r="D258"/>
    </row>
    <row r="259" spans="4:4" x14ac:dyDescent="0.25">
      <c r="D259"/>
    </row>
    <row r="260" spans="4:4" x14ac:dyDescent="0.25">
      <c r="D260"/>
    </row>
    <row r="261" spans="4:4" x14ac:dyDescent="0.25">
      <c r="D261"/>
    </row>
    <row r="262" spans="4:4" x14ac:dyDescent="0.25">
      <c r="D262"/>
    </row>
    <row r="263" spans="4:4" x14ac:dyDescent="0.25">
      <c r="D263"/>
    </row>
    <row r="264" spans="4:4" x14ac:dyDescent="0.25">
      <c r="D264"/>
    </row>
    <row r="265" spans="4:4" x14ac:dyDescent="0.25">
      <c r="D265"/>
    </row>
    <row r="266" spans="4:4" x14ac:dyDescent="0.25">
      <c r="D266"/>
    </row>
    <row r="267" spans="4:4" x14ac:dyDescent="0.25">
      <c r="D267"/>
    </row>
    <row r="268" spans="4:4" x14ac:dyDescent="0.25">
      <c r="D268"/>
    </row>
    <row r="269" spans="4:4" x14ac:dyDescent="0.25">
      <c r="D269"/>
    </row>
    <row r="270" spans="4:4" x14ac:dyDescent="0.25">
      <c r="D270"/>
    </row>
    <row r="271" spans="4:4" x14ac:dyDescent="0.25">
      <c r="D271"/>
    </row>
    <row r="272" spans="4:4" x14ac:dyDescent="0.25">
      <c r="D272"/>
    </row>
    <row r="273" spans="4:4" x14ac:dyDescent="0.25">
      <c r="D273"/>
    </row>
    <row r="274" spans="4:4" x14ac:dyDescent="0.25">
      <c r="D274"/>
    </row>
    <row r="275" spans="4:4" x14ac:dyDescent="0.25">
      <c r="D275"/>
    </row>
    <row r="276" spans="4:4" x14ac:dyDescent="0.25">
      <c r="D276"/>
    </row>
    <row r="277" spans="4:4" x14ac:dyDescent="0.25">
      <c r="D277"/>
    </row>
    <row r="278" spans="4:4" x14ac:dyDescent="0.25">
      <c r="D278"/>
    </row>
    <row r="279" spans="4:4" x14ac:dyDescent="0.25">
      <c r="D279"/>
    </row>
    <row r="280" spans="4:4" x14ac:dyDescent="0.25">
      <c r="D280"/>
    </row>
    <row r="281" spans="4:4" x14ac:dyDescent="0.25">
      <c r="D281"/>
    </row>
    <row r="282" spans="4:4" x14ac:dyDescent="0.25">
      <c r="D282"/>
    </row>
    <row r="283" spans="4:4" x14ac:dyDescent="0.25">
      <c r="D283"/>
    </row>
    <row r="284" spans="4:4" x14ac:dyDescent="0.25">
      <c r="D284"/>
    </row>
    <row r="285" spans="4:4" x14ac:dyDescent="0.25">
      <c r="D285"/>
    </row>
    <row r="286" spans="4:4" x14ac:dyDescent="0.25">
      <c r="D286"/>
    </row>
    <row r="287" spans="4:4" x14ac:dyDescent="0.25">
      <c r="D287"/>
    </row>
    <row r="288" spans="4:4" x14ac:dyDescent="0.25">
      <c r="D288"/>
    </row>
    <row r="289" spans="4:4" x14ac:dyDescent="0.25">
      <c r="D289"/>
    </row>
    <row r="290" spans="4:4" x14ac:dyDescent="0.25">
      <c r="D290"/>
    </row>
    <row r="291" spans="4:4" x14ac:dyDescent="0.25">
      <c r="D291"/>
    </row>
    <row r="292" spans="4:4" x14ac:dyDescent="0.25">
      <c r="D292"/>
    </row>
    <row r="293" spans="4:4" x14ac:dyDescent="0.25">
      <c r="D293"/>
    </row>
    <row r="294" spans="4:4" x14ac:dyDescent="0.25">
      <c r="D294"/>
    </row>
    <row r="295" spans="4:4" x14ac:dyDescent="0.25">
      <c r="D295"/>
    </row>
    <row r="296" spans="4:4" x14ac:dyDescent="0.25">
      <c r="D296"/>
    </row>
    <row r="297" spans="4:4" x14ac:dyDescent="0.25">
      <c r="D297"/>
    </row>
    <row r="298" spans="4:4" x14ac:dyDescent="0.25">
      <c r="D298"/>
    </row>
    <row r="299" spans="4:4" x14ac:dyDescent="0.25">
      <c r="D299"/>
    </row>
    <row r="300" spans="4:4" x14ac:dyDescent="0.25">
      <c r="D300"/>
    </row>
    <row r="301" spans="4:4" x14ac:dyDescent="0.25">
      <c r="D301"/>
    </row>
    <row r="302" spans="4:4" x14ac:dyDescent="0.25">
      <c r="D302"/>
    </row>
    <row r="303" spans="4:4" x14ac:dyDescent="0.25">
      <c r="D303"/>
    </row>
    <row r="304" spans="4:4" x14ac:dyDescent="0.25">
      <c r="D304"/>
    </row>
    <row r="305" spans="4:4" x14ac:dyDescent="0.25">
      <c r="D305"/>
    </row>
    <row r="306" spans="4:4" x14ac:dyDescent="0.25">
      <c r="D306"/>
    </row>
    <row r="307" spans="4:4" x14ac:dyDescent="0.25">
      <c r="D307"/>
    </row>
    <row r="308" spans="4:4" x14ac:dyDescent="0.25">
      <c r="D308"/>
    </row>
    <row r="309" spans="4:4" x14ac:dyDescent="0.25">
      <c r="D309"/>
    </row>
    <row r="310" spans="4:4" x14ac:dyDescent="0.25">
      <c r="D310"/>
    </row>
    <row r="311" spans="4:4" x14ac:dyDescent="0.25">
      <c r="D311"/>
    </row>
    <row r="312" spans="4:4" x14ac:dyDescent="0.25">
      <c r="D312"/>
    </row>
    <row r="313" spans="4:4" x14ac:dyDescent="0.25">
      <c r="D313"/>
    </row>
    <row r="314" spans="4:4" x14ac:dyDescent="0.25">
      <c r="D314"/>
    </row>
    <row r="315" spans="4:4" x14ac:dyDescent="0.25">
      <c r="D315"/>
    </row>
    <row r="316" spans="4:4" x14ac:dyDescent="0.25">
      <c r="D316"/>
    </row>
    <row r="317" spans="4:4" x14ac:dyDescent="0.25">
      <c r="D317"/>
    </row>
    <row r="318" spans="4:4" x14ac:dyDescent="0.25">
      <c r="D318"/>
    </row>
    <row r="319" spans="4:4" x14ac:dyDescent="0.25">
      <c r="D319"/>
    </row>
    <row r="320" spans="4:4" x14ac:dyDescent="0.25">
      <c r="D320"/>
    </row>
    <row r="321" spans="4:4" x14ac:dyDescent="0.25">
      <c r="D321"/>
    </row>
    <row r="322" spans="4:4" x14ac:dyDescent="0.25">
      <c r="D322"/>
    </row>
    <row r="323" spans="4:4" x14ac:dyDescent="0.25">
      <c r="D323"/>
    </row>
    <row r="324" spans="4:4" x14ac:dyDescent="0.25">
      <c r="D324"/>
    </row>
    <row r="325" spans="4:4" x14ac:dyDescent="0.25">
      <c r="D325"/>
    </row>
    <row r="326" spans="4:4" x14ac:dyDescent="0.25">
      <c r="D326"/>
    </row>
    <row r="327" spans="4:4" x14ac:dyDescent="0.25">
      <c r="D327"/>
    </row>
    <row r="328" spans="4:4" x14ac:dyDescent="0.25">
      <c r="D328"/>
    </row>
    <row r="329" spans="4:4" x14ac:dyDescent="0.25">
      <c r="D329"/>
    </row>
    <row r="330" spans="4:4" x14ac:dyDescent="0.25">
      <c r="D330"/>
    </row>
    <row r="331" spans="4:4" x14ac:dyDescent="0.25">
      <c r="D331"/>
    </row>
    <row r="332" spans="4:4" x14ac:dyDescent="0.25">
      <c r="D332"/>
    </row>
    <row r="333" spans="4:4" x14ac:dyDescent="0.25">
      <c r="D333"/>
    </row>
    <row r="334" spans="4:4" x14ac:dyDescent="0.25">
      <c r="D334"/>
    </row>
    <row r="335" spans="4:4" x14ac:dyDescent="0.25">
      <c r="D335"/>
    </row>
    <row r="336" spans="4:4" x14ac:dyDescent="0.25">
      <c r="D336"/>
    </row>
    <row r="337" spans="4:4" x14ac:dyDescent="0.25">
      <c r="D337"/>
    </row>
    <row r="338" spans="4:4" x14ac:dyDescent="0.25">
      <c r="D338"/>
    </row>
    <row r="339" spans="4:4" x14ac:dyDescent="0.25">
      <c r="D339"/>
    </row>
    <row r="340" spans="4:4" x14ac:dyDescent="0.25">
      <c r="D340"/>
    </row>
    <row r="341" spans="4:4" x14ac:dyDescent="0.25">
      <c r="D341"/>
    </row>
    <row r="342" spans="4:4" x14ac:dyDescent="0.25">
      <c r="D342"/>
    </row>
    <row r="343" spans="4:4" x14ac:dyDescent="0.25">
      <c r="D343"/>
    </row>
    <row r="344" spans="4:4" x14ac:dyDescent="0.25">
      <c r="D344"/>
    </row>
    <row r="345" spans="4:4" x14ac:dyDescent="0.25">
      <c r="D345"/>
    </row>
    <row r="346" spans="4:4" x14ac:dyDescent="0.25">
      <c r="D346"/>
    </row>
    <row r="347" spans="4:4" x14ac:dyDescent="0.25">
      <c r="D347"/>
    </row>
    <row r="348" spans="4:4" x14ac:dyDescent="0.25">
      <c r="D348"/>
    </row>
    <row r="349" spans="4:4" x14ac:dyDescent="0.25">
      <c r="D349"/>
    </row>
    <row r="350" spans="4:4" x14ac:dyDescent="0.25">
      <c r="D350"/>
    </row>
    <row r="351" spans="4:4" x14ac:dyDescent="0.25">
      <c r="D351"/>
    </row>
    <row r="352" spans="4:4" x14ac:dyDescent="0.25">
      <c r="D352"/>
    </row>
    <row r="353" spans="4:4" x14ac:dyDescent="0.25">
      <c r="D353"/>
    </row>
    <row r="354" spans="4:4" x14ac:dyDescent="0.25">
      <c r="D354"/>
    </row>
    <row r="355" spans="4:4" x14ac:dyDescent="0.25">
      <c r="D355"/>
    </row>
    <row r="356" spans="4:4" x14ac:dyDescent="0.25">
      <c r="D356"/>
    </row>
    <row r="357" spans="4:4" x14ac:dyDescent="0.25">
      <c r="D357"/>
    </row>
    <row r="358" spans="4:4" x14ac:dyDescent="0.25">
      <c r="D358"/>
    </row>
    <row r="359" spans="4:4" x14ac:dyDescent="0.25">
      <c r="D359"/>
    </row>
    <row r="360" spans="4:4" x14ac:dyDescent="0.25">
      <c r="D360"/>
    </row>
    <row r="361" spans="4:4" x14ac:dyDescent="0.25">
      <c r="D361"/>
    </row>
    <row r="362" spans="4:4" x14ac:dyDescent="0.25">
      <c r="D362"/>
    </row>
    <row r="363" spans="4:4" x14ac:dyDescent="0.25">
      <c r="D363"/>
    </row>
    <row r="364" spans="4:4" x14ac:dyDescent="0.25">
      <c r="D364"/>
    </row>
    <row r="365" spans="4:4" x14ac:dyDescent="0.25">
      <c r="D365"/>
    </row>
    <row r="366" spans="4:4" x14ac:dyDescent="0.25">
      <c r="D366"/>
    </row>
    <row r="367" spans="4:4" x14ac:dyDescent="0.25">
      <c r="D367"/>
    </row>
    <row r="368" spans="4:4" x14ac:dyDescent="0.25">
      <c r="D368"/>
    </row>
    <row r="369" spans="4:4" x14ac:dyDescent="0.25">
      <c r="D369"/>
    </row>
    <row r="370" spans="4:4" x14ac:dyDescent="0.25">
      <c r="D370"/>
    </row>
    <row r="371" spans="4:4" x14ac:dyDescent="0.25">
      <c r="D371"/>
    </row>
    <row r="372" spans="4:4" x14ac:dyDescent="0.25">
      <c r="D372"/>
    </row>
    <row r="373" spans="4:4" x14ac:dyDescent="0.25">
      <c r="D373"/>
    </row>
    <row r="374" spans="4:4" x14ac:dyDescent="0.25">
      <c r="D374"/>
    </row>
    <row r="375" spans="4:4" x14ac:dyDescent="0.25">
      <c r="D375"/>
    </row>
    <row r="376" spans="4:4" x14ac:dyDescent="0.25">
      <c r="D376"/>
    </row>
    <row r="377" spans="4:4" x14ac:dyDescent="0.25">
      <c r="D377"/>
    </row>
    <row r="378" spans="4:4" x14ac:dyDescent="0.25">
      <c r="D378"/>
    </row>
    <row r="379" spans="4:4" x14ac:dyDescent="0.25">
      <c r="D379"/>
    </row>
    <row r="380" spans="4:4" x14ac:dyDescent="0.25">
      <c r="D380"/>
    </row>
    <row r="381" spans="4:4" x14ac:dyDescent="0.25">
      <c r="D381"/>
    </row>
    <row r="382" spans="4:4" x14ac:dyDescent="0.25">
      <c r="D382"/>
    </row>
    <row r="383" spans="4:4" x14ac:dyDescent="0.25">
      <c r="D383"/>
    </row>
    <row r="384" spans="4:4" x14ac:dyDescent="0.25">
      <c r="D384"/>
    </row>
    <row r="385" spans="4:4" x14ac:dyDescent="0.25">
      <c r="D385"/>
    </row>
    <row r="386" spans="4:4" x14ac:dyDescent="0.25">
      <c r="D386"/>
    </row>
    <row r="387" spans="4:4" x14ac:dyDescent="0.25">
      <c r="D387"/>
    </row>
    <row r="388" spans="4:4" x14ac:dyDescent="0.25">
      <c r="D388"/>
    </row>
    <row r="389" spans="4:4" x14ac:dyDescent="0.25">
      <c r="D389"/>
    </row>
    <row r="390" spans="4:4" x14ac:dyDescent="0.25">
      <c r="D390"/>
    </row>
    <row r="391" spans="4:4" x14ac:dyDescent="0.25">
      <c r="D391"/>
    </row>
    <row r="392" spans="4:4" x14ac:dyDescent="0.25">
      <c r="D392"/>
    </row>
    <row r="393" spans="4:4" x14ac:dyDescent="0.25">
      <c r="D393"/>
    </row>
    <row r="394" spans="4:4" x14ac:dyDescent="0.25">
      <c r="D394"/>
    </row>
    <row r="395" spans="4:4" x14ac:dyDescent="0.25">
      <c r="D395"/>
    </row>
    <row r="396" spans="4:4" x14ac:dyDescent="0.25">
      <c r="D396"/>
    </row>
    <row r="397" spans="4:4" x14ac:dyDescent="0.25">
      <c r="D397"/>
    </row>
    <row r="398" spans="4:4" x14ac:dyDescent="0.25">
      <c r="D398"/>
    </row>
    <row r="399" spans="4:4" x14ac:dyDescent="0.25">
      <c r="D399"/>
    </row>
    <row r="400" spans="4:4" x14ac:dyDescent="0.25">
      <c r="D400"/>
    </row>
    <row r="401" spans="4:4" x14ac:dyDescent="0.25">
      <c r="D401"/>
    </row>
    <row r="402" spans="4:4" x14ac:dyDescent="0.25">
      <c r="D402"/>
    </row>
    <row r="403" spans="4:4" x14ac:dyDescent="0.25">
      <c r="D403"/>
    </row>
    <row r="404" spans="4:4" x14ac:dyDescent="0.25">
      <c r="D404"/>
    </row>
    <row r="405" spans="4:4" x14ac:dyDescent="0.25">
      <c r="D405"/>
    </row>
    <row r="406" spans="4:4" x14ac:dyDescent="0.25">
      <c r="D406"/>
    </row>
    <row r="407" spans="4:4" x14ac:dyDescent="0.25">
      <c r="D407"/>
    </row>
    <row r="408" spans="4:4" x14ac:dyDescent="0.25">
      <c r="D408"/>
    </row>
    <row r="409" spans="4:4" x14ac:dyDescent="0.25">
      <c r="D409"/>
    </row>
    <row r="410" spans="4:4" x14ac:dyDescent="0.25">
      <c r="D410"/>
    </row>
    <row r="411" spans="4:4" x14ac:dyDescent="0.25">
      <c r="D411"/>
    </row>
    <row r="412" spans="4:4" x14ac:dyDescent="0.25">
      <c r="D412"/>
    </row>
    <row r="413" spans="4:4" x14ac:dyDescent="0.25">
      <c r="D413"/>
    </row>
    <row r="414" spans="4:4" x14ac:dyDescent="0.25">
      <c r="D414"/>
    </row>
    <row r="415" spans="4:4" x14ac:dyDescent="0.25">
      <c r="D415"/>
    </row>
    <row r="416" spans="4:4" x14ac:dyDescent="0.25">
      <c r="D416"/>
    </row>
    <row r="417" spans="4:4" x14ac:dyDescent="0.25">
      <c r="D417"/>
    </row>
    <row r="418" spans="4:4" x14ac:dyDescent="0.25">
      <c r="D418"/>
    </row>
    <row r="419" spans="4:4" x14ac:dyDescent="0.25">
      <c r="D419"/>
    </row>
    <row r="420" spans="4:4" x14ac:dyDescent="0.25">
      <c r="D420"/>
    </row>
    <row r="421" spans="4:4" x14ac:dyDescent="0.25">
      <c r="D421"/>
    </row>
    <row r="422" spans="4:4" x14ac:dyDescent="0.25">
      <c r="D422"/>
    </row>
    <row r="423" spans="4:4" x14ac:dyDescent="0.25">
      <c r="D423"/>
    </row>
    <row r="424" spans="4:4" x14ac:dyDescent="0.25">
      <c r="D424"/>
    </row>
    <row r="425" spans="4:4" x14ac:dyDescent="0.25">
      <c r="D425"/>
    </row>
    <row r="426" spans="4:4" x14ac:dyDescent="0.25">
      <c r="D426"/>
    </row>
    <row r="427" spans="4:4" x14ac:dyDescent="0.25">
      <c r="D427"/>
    </row>
    <row r="428" spans="4:4" x14ac:dyDescent="0.25">
      <c r="D428"/>
    </row>
    <row r="429" spans="4:4" x14ac:dyDescent="0.25">
      <c r="D429"/>
    </row>
    <row r="430" spans="4:4" x14ac:dyDescent="0.25">
      <c r="D430"/>
    </row>
    <row r="431" spans="4:4" x14ac:dyDescent="0.25">
      <c r="D431"/>
    </row>
    <row r="432" spans="4:4" x14ac:dyDescent="0.25">
      <c r="D432"/>
    </row>
    <row r="433" spans="4:4" x14ac:dyDescent="0.25">
      <c r="D433"/>
    </row>
    <row r="434" spans="4:4" x14ac:dyDescent="0.25">
      <c r="D434"/>
    </row>
    <row r="435" spans="4:4" x14ac:dyDescent="0.25">
      <c r="D435"/>
    </row>
    <row r="436" spans="4:4" x14ac:dyDescent="0.25">
      <c r="D436"/>
    </row>
    <row r="437" spans="4:4" x14ac:dyDescent="0.25">
      <c r="D437"/>
    </row>
    <row r="438" spans="4:4" x14ac:dyDescent="0.25">
      <c r="D438"/>
    </row>
    <row r="439" spans="4:4" x14ac:dyDescent="0.25">
      <c r="D439"/>
    </row>
    <row r="440" spans="4:4" x14ac:dyDescent="0.25">
      <c r="D440"/>
    </row>
    <row r="441" spans="4:4" x14ac:dyDescent="0.25">
      <c r="D441"/>
    </row>
    <row r="442" spans="4:4" x14ac:dyDescent="0.25">
      <c r="D442"/>
    </row>
    <row r="443" spans="4:4" x14ac:dyDescent="0.25">
      <c r="D443"/>
    </row>
    <row r="444" spans="4:4" x14ac:dyDescent="0.25">
      <c r="D444"/>
    </row>
    <row r="445" spans="4:4" x14ac:dyDescent="0.25">
      <c r="D445"/>
    </row>
    <row r="446" spans="4:4" x14ac:dyDescent="0.25">
      <c r="D446"/>
    </row>
    <row r="447" spans="4:4" x14ac:dyDescent="0.25">
      <c r="D447"/>
    </row>
    <row r="448" spans="4:4" x14ac:dyDescent="0.25">
      <c r="D448"/>
    </row>
    <row r="449" spans="4:4" x14ac:dyDescent="0.25">
      <c r="D449"/>
    </row>
    <row r="450" spans="4:4" x14ac:dyDescent="0.25">
      <c r="D450"/>
    </row>
    <row r="451" spans="4:4" x14ac:dyDescent="0.25">
      <c r="D451"/>
    </row>
    <row r="452" spans="4:4" x14ac:dyDescent="0.25">
      <c r="D452"/>
    </row>
    <row r="453" spans="4:4" x14ac:dyDescent="0.25">
      <c r="D453"/>
    </row>
    <row r="454" spans="4:4" x14ac:dyDescent="0.25">
      <c r="D454"/>
    </row>
    <row r="455" spans="4:4" x14ac:dyDescent="0.25">
      <c r="D455"/>
    </row>
    <row r="456" spans="4:4" x14ac:dyDescent="0.25">
      <c r="D456"/>
    </row>
    <row r="457" spans="4:4" x14ac:dyDescent="0.25">
      <c r="D457"/>
    </row>
    <row r="458" spans="4:4" x14ac:dyDescent="0.25">
      <c r="D458"/>
    </row>
    <row r="459" spans="4:4" x14ac:dyDescent="0.25">
      <c r="D459"/>
    </row>
    <row r="460" spans="4:4" x14ac:dyDescent="0.25">
      <c r="D460"/>
    </row>
    <row r="461" spans="4:4" x14ac:dyDescent="0.25">
      <c r="D461"/>
    </row>
    <row r="462" spans="4:4" x14ac:dyDescent="0.25">
      <c r="D462"/>
    </row>
    <row r="463" spans="4:4" x14ac:dyDescent="0.25">
      <c r="D463"/>
    </row>
    <row r="464" spans="4:4" x14ac:dyDescent="0.25">
      <c r="D464"/>
    </row>
    <row r="465" spans="4:4" x14ac:dyDescent="0.25">
      <c r="D465"/>
    </row>
    <row r="466" spans="4:4" x14ac:dyDescent="0.25">
      <c r="D466"/>
    </row>
    <row r="467" spans="4:4" x14ac:dyDescent="0.25">
      <c r="D467"/>
    </row>
    <row r="468" spans="4:4" x14ac:dyDescent="0.25">
      <c r="D468"/>
    </row>
    <row r="469" spans="4:4" x14ac:dyDescent="0.25">
      <c r="D469"/>
    </row>
    <row r="470" spans="4:4" x14ac:dyDescent="0.25">
      <c r="D470"/>
    </row>
    <row r="471" spans="4:4" x14ac:dyDescent="0.25">
      <c r="D471"/>
    </row>
    <row r="472" spans="4:4" x14ac:dyDescent="0.25">
      <c r="D472"/>
    </row>
    <row r="473" spans="4:4" x14ac:dyDescent="0.25">
      <c r="D473"/>
    </row>
    <row r="474" spans="4:4" x14ac:dyDescent="0.25">
      <c r="D474"/>
    </row>
    <row r="475" spans="4:4" x14ac:dyDescent="0.25">
      <c r="D475"/>
    </row>
    <row r="476" spans="4:4" x14ac:dyDescent="0.25">
      <c r="D476"/>
    </row>
    <row r="477" spans="4:4" x14ac:dyDescent="0.25">
      <c r="D477"/>
    </row>
    <row r="478" spans="4:4" x14ac:dyDescent="0.25">
      <c r="D478"/>
    </row>
    <row r="479" spans="4:4" x14ac:dyDescent="0.25">
      <c r="D479"/>
    </row>
    <row r="480" spans="4:4" x14ac:dyDescent="0.25">
      <c r="D480"/>
    </row>
    <row r="481" spans="4:4" x14ac:dyDescent="0.25">
      <c r="D481"/>
    </row>
    <row r="482" spans="4:4" x14ac:dyDescent="0.25">
      <c r="D482"/>
    </row>
    <row r="483" spans="4:4" x14ac:dyDescent="0.25">
      <c r="D483"/>
    </row>
    <row r="484" spans="4:4" x14ac:dyDescent="0.25">
      <c r="D484"/>
    </row>
    <row r="485" spans="4:4" x14ac:dyDescent="0.25">
      <c r="D485"/>
    </row>
    <row r="486" spans="4:4" x14ac:dyDescent="0.25">
      <c r="D486"/>
    </row>
    <row r="487" spans="4:4" x14ac:dyDescent="0.25">
      <c r="D487"/>
    </row>
    <row r="488" spans="4:4" x14ac:dyDescent="0.25">
      <c r="D488"/>
    </row>
    <row r="489" spans="4:4" x14ac:dyDescent="0.25">
      <c r="D489"/>
    </row>
    <row r="490" spans="4:4" x14ac:dyDescent="0.25">
      <c r="D490"/>
    </row>
    <row r="491" spans="4:4" x14ac:dyDescent="0.25">
      <c r="D491"/>
    </row>
    <row r="492" spans="4:4" x14ac:dyDescent="0.25">
      <c r="D492"/>
    </row>
    <row r="493" spans="4:4" x14ac:dyDescent="0.25">
      <c r="D493"/>
    </row>
    <row r="494" spans="4:4" x14ac:dyDescent="0.25">
      <c r="D494"/>
    </row>
    <row r="495" spans="4:4" x14ac:dyDescent="0.25">
      <c r="D495"/>
    </row>
    <row r="496" spans="4:4" x14ac:dyDescent="0.25">
      <c r="D496"/>
    </row>
    <row r="497" spans="4:4" x14ac:dyDescent="0.25">
      <c r="D497"/>
    </row>
    <row r="498" spans="4:4" x14ac:dyDescent="0.25">
      <c r="D498"/>
    </row>
    <row r="499" spans="4:4" x14ac:dyDescent="0.25">
      <c r="D499"/>
    </row>
    <row r="500" spans="4:4" x14ac:dyDescent="0.25">
      <c r="D500"/>
    </row>
    <row r="501" spans="4:4" x14ac:dyDescent="0.25">
      <c r="D501"/>
    </row>
    <row r="502" spans="4:4" x14ac:dyDescent="0.25">
      <c r="D502"/>
    </row>
    <row r="503" spans="4:4" x14ac:dyDescent="0.25">
      <c r="D503"/>
    </row>
    <row r="504" spans="4:4" x14ac:dyDescent="0.25">
      <c r="D504"/>
    </row>
    <row r="505" spans="4:4" x14ac:dyDescent="0.25">
      <c r="D505"/>
    </row>
    <row r="506" spans="4:4" x14ac:dyDescent="0.25">
      <c r="D506"/>
    </row>
    <row r="507" spans="4:4" x14ac:dyDescent="0.25">
      <c r="D507"/>
    </row>
    <row r="508" spans="4:4" x14ac:dyDescent="0.25">
      <c r="D508"/>
    </row>
    <row r="509" spans="4:4" x14ac:dyDescent="0.25">
      <c r="D509"/>
    </row>
    <row r="510" spans="4:4" x14ac:dyDescent="0.25">
      <c r="D510"/>
    </row>
    <row r="511" spans="4:4" x14ac:dyDescent="0.25">
      <c r="D511"/>
    </row>
    <row r="512" spans="4:4" x14ac:dyDescent="0.25">
      <c r="D512"/>
    </row>
    <row r="513" spans="4:4" x14ac:dyDescent="0.25">
      <c r="D513"/>
    </row>
    <row r="514" spans="4:4" x14ac:dyDescent="0.25">
      <c r="D514"/>
    </row>
    <row r="515" spans="4:4" x14ac:dyDescent="0.25">
      <c r="D515"/>
    </row>
    <row r="516" spans="4:4" x14ac:dyDescent="0.25">
      <c r="D516"/>
    </row>
    <row r="517" spans="4:4" x14ac:dyDescent="0.25">
      <c r="D517"/>
    </row>
    <row r="518" spans="4:4" x14ac:dyDescent="0.25">
      <c r="D518"/>
    </row>
    <row r="519" spans="4:4" x14ac:dyDescent="0.25">
      <c r="D519"/>
    </row>
    <row r="520" spans="4:4" x14ac:dyDescent="0.25">
      <c r="D520"/>
    </row>
    <row r="521" spans="4:4" x14ac:dyDescent="0.25">
      <c r="D521"/>
    </row>
    <row r="522" spans="4:4" x14ac:dyDescent="0.25">
      <c r="D522"/>
    </row>
    <row r="523" spans="4:4" x14ac:dyDescent="0.25">
      <c r="D523"/>
    </row>
    <row r="524" spans="4:4" x14ac:dyDescent="0.25">
      <c r="D524"/>
    </row>
    <row r="525" spans="4:4" x14ac:dyDescent="0.25">
      <c r="D525"/>
    </row>
    <row r="526" spans="4:4" x14ac:dyDescent="0.25">
      <c r="D526"/>
    </row>
    <row r="527" spans="4:4" x14ac:dyDescent="0.25">
      <c r="D527"/>
    </row>
    <row r="528" spans="4:4" x14ac:dyDescent="0.25">
      <c r="D528"/>
    </row>
    <row r="529" spans="4:4" x14ac:dyDescent="0.25">
      <c r="D529"/>
    </row>
    <row r="530" spans="4:4" x14ac:dyDescent="0.25">
      <c r="D530"/>
    </row>
    <row r="531" spans="4:4" x14ac:dyDescent="0.25">
      <c r="D531"/>
    </row>
    <row r="532" spans="4:4" x14ac:dyDescent="0.25">
      <c r="D532"/>
    </row>
    <row r="533" spans="4:4" x14ac:dyDescent="0.25">
      <c r="D533"/>
    </row>
    <row r="534" spans="4:4" x14ac:dyDescent="0.25">
      <c r="D534"/>
    </row>
    <row r="535" spans="4:4" x14ac:dyDescent="0.25">
      <c r="D535"/>
    </row>
    <row r="536" spans="4:4" x14ac:dyDescent="0.25">
      <c r="D536"/>
    </row>
    <row r="537" spans="4:4" x14ac:dyDescent="0.25">
      <c r="D537"/>
    </row>
    <row r="538" spans="4:4" x14ac:dyDescent="0.25">
      <c r="D538"/>
    </row>
    <row r="539" spans="4:4" x14ac:dyDescent="0.25">
      <c r="D539"/>
    </row>
    <row r="540" spans="4:4" x14ac:dyDescent="0.25">
      <c r="D540"/>
    </row>
    <row r="541" spans="4:4" x14ac:dyDescent="0.25">
      <c r="D541"/>
    </row>
    <row r="542" spans="4:4" x14ac:dyDescent="0.25">
      <c r="D542"/>
    </row>
    <row r="543" spans="4:4" x14ac:dyDescent="0.25">
      <c r="D543"/>
    </row>
    <row r="544" spans="4:4" x14ac:dyDescent="0.25">
      <c r="D544"/>
    </row>
    <row r="545" spans="4:4" x14ac:dyDescent="0.25">
      <c r="D545"/>
    </row>
    <row r="546" spans="4:4" x14ac:dyDescent="0.25">
      <c r="D546"/>
    </row>
    <row r="547" spans="4:4" x14ac:dyDescent="0.25">
      <c r="D547"/>
    </row>
    <row r="548" spans="4:4" x14ac:dyDescent="0.25">
      <c r="D548"/>
    </row>
    <row r="549" spans="4:4" x14ac:dyDescent="0.25">
      <c r="D549"/>
    </row>
    <row r="550" spans="4:4" x14ac:dyDescent="0.25">
      <c r="D550"/>
    </row>
    <row r="551" spans="4:4" x14ac:dyDescent="0.25">
      <c r="D551"/>
    </row>
    <row r="552" spans="4:4" x14ac:dyDescent="0.25">
      <c r="D552"/>
    </row>
    <row r="553" spans="4:4" x14ac:dyDescent="0.25">
      <c r="D553"/>
    </row>
    <row r="554" spans="4:4" x14ac:dyDescent="0.25">
      <c r="D554"/>
    </row>
    <row r="555" spans="4:4" x14ac:dyDescent="0.25">
      <c r="D555"/>
    </row>
    <row r="556" spans="4:4" x14ac:dyDescent="0.25">
      <c r="D556"/>
    </row>
    <row r="557" spans="4:4" x14ac:dyDescent="0.25">
      <c r="D557"/>
    </row>
    <row r="558" spans="4:4" x14ac:dyDescent="0.25">
      <c r="D558"/>
    </row>
    <row r="559" spans="4:4" x14ac:dyDescent="0.25">
      <c r="D559"/>
    </row>
    <row r="560" spans="4:4" x14ac:dyDescent="0.25">
      <c r="D560"/>
    </row>
    <row r="561" spans="4:4" x14ac:dyDescent="0.25">
      <c r="D561"/>
    </row>
    <row r="562" spans="4:4" x14ac:dyDescent="0.25">
      <c r="D562"/>
    </row>
    <row r="563" spans="4:4" x14ac:dyDescent="0.25">
      <c r="D563"/>
    </row>
    <row r="564" spans="4:4" x14ac:dyDescent="0.25">
      <c r="D564"/>
    </row>
    <row r="565" spans="4:4" x14ac:dyDescent="0.25">
      <c r="D565"/>
    </row>
    <row r="566" spans="4:4" x14ac:dyDescent="0.25">
      <c r="D566"/>
    </row>
    <row r="567" spans="4:4" x14ac:dyDescent="0.25">
      <c r="D567"/>
    </row>
    <row r="568" spans="4:4" x14ac:dyDescent="0.25">
      <c r="D568"/>
    </row>
    <row r="569" spans="4:4" x14ac:dyDescent="0.25">
      <c r="D569"/>
    </row>
    <row r="570" spans="4:4" x14ac:dyDescent="0.25">
      <c r="D570"/>
    </row>
    <row r="571" spans="4:4" x14ac:dyDescent="0.25">
      <c r="D571"/>
    </row>
    <row r="572" spans="4:4" x14ac:dyDescent="0.25">
      <c r="D572"/>
    </row>
    <row r="573" spans="4:4" x14ac:dyDescent="0.25">
      <c r="D573"/>
    </row>
    <row r="574" spans="4:4" x14ac:dyDescent="0.25">
      <c r="D574"/>
    </row>
    <row r="575" spans="4:4" x14ac:dyDescent="0.25">
      <c r="D575"/>
    </row>
    <row r="576" spans="4:4" x14ac:dyDescent="0.25">
      <c r="D576"/>
    </row>
    <row r="577" spans="4:4" x14ac:dyDescent="0.25">
      <c r="D577"/>
    </row>
    <row r="578" spans="4:4" x14ac:dyDescent="0.25">
      <c r="D578"/>
    </row>
    <row r="579" spans="4:4" x14ac:dyDescent="0.25">
      <c r="D579"/>
    </row>
    <row r="580" spans="4:4" x14ac:dyDescent="0.25">
      <c r="D580"/>
    </row>
    <row r="581" spans="4:4" x14ac:dyDescent="0.25">
      <c r="D581"/>
    </row>
    <row r="582" spans="4:4" x14ac:dyDescent="0.25">
      <c r="D582"/>
    </row>
    <row r="583" spans="4:4" x14ac:dyDescent="0.25">
      <c r="D583"/>
    </row>
    <row r="584" spans="4:4" x14ac:dyDescent="0.25">
      <c r="D584"/>
    </row>
    <row r="585" spans="4:4" x14ac:dyDescent="0.25">
      <c r="D585"/>
    </row>
    <row r="586" spans="4:4" x14ac:dyDescent="0.25">
      <c r="D586"/>
    </row>
    <row r="587" spans="4:4" x14ac:dyDescent="0.25">
      <c r="D587"/>
    </row>
    <row r="588" spans="4:4" x14ac:dyDescent="0.25">
      <c r="D588"/>
    </row>
    <row r="589" spans="4:4" x14ac:dyDescent="0.25">
      <c r="D589"/>
    </row>
    <row r="590" spans="4:4" x14ac:dyDescent="0.25">
      <c r="D590"/>
    </row>
    <row r="591" spans="4:4" x14ac:dyDescent="0.25">
      <c r="D591"/>
    </row>
    <row r="592" spans="4:4" x14ac:dyDescent="0.25">
      <c r="D592"/>
    </row>
    <row r="593" spans="4:4" x14ac:dyDescent="0.25">
      <c r="D593"/>
    </row>
    <row r="594" spans="4:4" x14ac:dyDescent="0.25">
      <c r="D594"/>
    </row>
    <row r="595" spans="4:4" x14ac:dyDescent="0.25">
      <c r="D595"/>
    </row>
    <row r="596" spans="4:4" x14ac:dyDescent="0.25">
      <c r="D596"/>
    </row>
    <row r="597" spans="4:4" x14ac:dyDescent="0.25">
      <c r="D597"/>
    </row>
    <row r="598" spans="4:4" x14ac:dyDescent="0.25">
      <c r="D598"/>
    </row>
    <row r="599" spans="4:4" x14ac:dyDescent="0.25">
      <c r="D599"/>
    </row>
    <row r="600" spans="4:4" x14ac:dyDescent="0.25">
      <c r="D600"/>
    </row>
    <row r="601" spans="4:4" x14ac:dyDescent="0.25">
      <c r="D601"/>
    </row>
    <row r="602" spans="4:4" x14ac:dyDescent="0.25">
      <c r="D602"/>
    </row>
    <row r="603" spans="4:4" x14ac:dyDescent="0.25">
      <c r="D603"/>
    </row>
    <row r="604" spans="4:4" x14ac:dyDescent="0.25">
      <c r="D604"/>
    </row>
    <row r="605" spans="4:4" x14ac:dyDescent="0.25">
      <c r="D605"/>
    </row>
    <row r="606" spans="4:4" x14ac:dyDescent="0.25">
      <c r="D606"/>
    </row>
    <row r="607" spans="4:4" x14ac:dyDescent="0.25">
      <c r="D607"/>
    </row>
    <row r="608" spans="4:4" x14ac:dyDescent="0.25">
      <c r="D608"/>
    </row>
    <row r="609" spans="4:4" x14ac:dyDescent="0.25">
      <c r="D609"/>
    </row>
    <row r="610" spans="4:4" x14ac:dyDescent="0.25">
      <c r="D610"/>
    </row>
    <row r="611" spans="4:4" x14ac:dyDescent="0.25">
      <c r="D611"/>
    </row>
    <row r="612" spans="4:4" x14ac:dyDescent="0.25">
      <c r="D612"/>
    </row>
    <row r="613" spans="4:4" x14ac:dyDescent="0.25">
      <c r="D613"/>
    </row>
    <row r="614" spans="4:4" x14ac:dyDescent="0.25">
      <c r="D614"/>
    </row>
    <row r="615" spans="4:4" x14ac:dyDescent="0.25">
      <c r="D615"/>
    </row>
    <row r="616" spans="4:4" x14ac:dyDescent="0.25">
      <c r="D616"/>
    </row>
    <row r="617" spans="4:4" x14ac:dyDescent="0.25">
      <c r="D617"/>
    </row>
    <row r="618" spans="4:4" x14ac:dyDescent="0.25">
      <c r="D618"/>
    </row>
    <row r="619" spans="4:4" x14ac:dyDescent="0.25">
      <c r="D619"/>
    </row>
    <row r="620" spans="4:4" x14ac:dyDescent="0.25">
      <c r="D620"/>
    </row>
    <row r="621" spans="4:4" x14ac:dyDescent="0.25">
      <c r="D621"/>
    </row>
    <row r="622" spans="4:4" x14ac:dyDescent="0.25">
      <c r="D622"/>
    </row>
    <row r="623" spans="4:4" x14ac:dyDescent="0.25">
      <c r="D623"/>
    </row>
    <row r="624" spans="4:4" x14ac:dyDescent="0.25">
      <c r="D624"/>
    </row>
    <row r="625" spans="4:4" x14ac:dyDescent="0.25">
      <c r="D625"/>
    </row>
    <row r="626" spans="4:4" x14ac:dyDescent="0.25">
      <c r="D626"/>
    </row>
    <row r="627" spans="4:4" x14ac:dyDescent="0.25">
      <c r="D627"/>
    </row>
    <row r="628" spans="4:4" x14ac:dyDescent="0.25">
      <c r="D628"/>
    </row>
    <row r="629" spans="4:4" x14ac:dyDescent="0.25">
      <c r="D629"/>
    </row>
    <row r="630" spans="4:4" x14ac:dyDescent="0.25">
      <c r="D630"/>
    </row>
    <row r="631" spans="4:4" x14ac:dyDescent="0.25">
      <c r="D631"/>
    </row>
    <row r="632" spans="4:4" x14ac:dyDescent="0.25">
      <c r="D632"/>
    </row>
    <row r="633" spans="4:4" x14ac:dyDescent="0.25">
      <c r="D633"/>
    </row>
    <row r="634" spans="4:4" x14ac:dyDescent="0.25">
      <c r="D634"/>
    </row>
    <row r="635" spans="4:4" x14ac:dyDescent="0.25">
      <c r="D635"/>
    </row>
    <row r="636" spans="4:4" x14ac:dyDescent="0.25">
      <c r="D636"/>
    </row>
    <row r="637" spans="4:4" x14ac:dyDescent="0.25">
      <c r="D637"/>
    </row>
    <row r="638" spans="4:4" x14ac:dyDescent="0.25">
      <c r="D638"/>
    </row>
    <row r="639" spans="4:4" x14ac:dyDescent="0.25">
      <c r="D639"/>
    </row>
    <row r="640" spans="4:4" x14ac:dyDescent="0.25">
      <c r="D640"/>
    </row>
    <row r="641" spans="4:4" x14ac:dyDescent="0.25">
      <c r="D641"/>
    </row>
    <row r="642" spans="4:4" x14ac:dyDescent="0.25">
      <c r="D642"/>
    </row>
    <row r="643" spans="4:4" x14ac:dyDescent="0.25">
      <c r="D643"/>
    </row>
    <row r="644" spans="4:4" x14ac:dyDescent="0.25">
      <c r="D644"/>
    </row>
    <row r="645" spans="4:4" x14ac:dyDescent="0.25">
      <c r="D645"/>
    </row>
    <row r="646" spans="4:4" x14ac:dyDescent="0.25">
      <c r="D646"/>
    </row>
    <row r="647" spans="4:4" x14ac:dyDescent="0.25">
      <c r="D647"/>
    </row>
    <row r="648" spans="4:4" x14ac:dyDescent="0.25">
      <c r="D648"/>
    </row>
    <row r="649" spans="4:4" x14ac:dyDescent="0.25">
      <c r="D649"/>
    </row>
    <row r="650" spans="4:4" x14ac:dyDescent="0.25">
      <c r="D650"/>
    </row>
    <row r="651" spans="4:4" x14ac:dyDescent="0.25">
      <c r="D651"/>
    </row>
    <row r="652" spans="4:4" x14ac:dyDescent="0.25">
      <c r="D652"/>
    </row>
    <row r="653" spans="4:4" x14ac:dyDescent="0.25">
      <c r="D653"/>
    </row>
    <row r="654" spans="4:4" x14ac:dyDescent="0.25">
      <c r="D654"/>
    </row>
    <row r="655" spans="4:4" x14ac:dyDescent="0.25">
      <c r="D655"/>
    </row>
    <row r="656" spans="4:4" x14ac:dyDescent="0.25">
      <c r="D656"/>
    </row>
    <row r="657" spans="4:4" x14ac:dyDescent="0.25">
      <c r="D657"/>
    </row>
    <row r="658" spans="4:4" x14ac:dyDescent="0.25">
      <c r="D658"/>
    </row>
    <row r="659" spans="4:4" x14ac:dyDescent="0.25">
      <c r="D659"/>
    </row>
    <row r="660" spans="4:4" x14ac:dyDescent="0.25">
      <c r="D660"/>
    </row>
    <row r="661" spans="4:4" x14ac:dyDescent="0.25">
      <c r="D661"/>
    </row>
    <row r="662" spans="4:4" x14ac:dyDescent="0.25">
      <c r="D662"/>
    </row>
    <row r="663" spans="4:4" x14ac:dyDescent="0.25">
      <c r="D663"/>
    </row>
    <row r="664" spans="4:4" x14ac:dyDescent="0.25">
      <c r="D664"/>
    </row>
    <row r="665" spans="4:4" x14ac:dyDescent="0.25">
      <c r="D665"/>
    </row>
    <row r="666" spans="4:4" x14ac:dyDescent="0.25">
      <c r="D666"/>
    </row>
    <row r="667" spans="4:4" x14ac:dyDescent="0.25">
      <c r="D667"/>
    </row>
    <row r="668" spans="4:4" x14ac:dyDescent="0.25">
      <c r="D668"/>
    </row>
    <row r="669" spans="4:4" x14ac:dyDescent="0.25">
      <c r="D669"/>
    </row>
    <row r="670" spans="4:4" x14ac:dyDescent="0.25">
      <c r="D670"/>
    </row>
    <row r="671" spans="4:4" x14ac:dyDescent="0.25">
      <c r="D671"/>
    </row>
    <row r="672" spans="4:4" x14ac:dyDescent="0.25">
      <c r="D672"/>
    </row>
    <row r="673" spans="4:4" x14ac:dyDescent="0.25">
      <c r="D673"/>
    </row>
    <row r="674" spans="4:4" x14ac:dyDescent="0.25">
      <c r="D674"/>
    </row>
    <row r="675" spans="4:4" x14ac:dyDescent="0.25">
      <c r="D675"/>
    </row>
    <row r="676" spans="4:4" x14ac:dyDescent="0.25">
      <c r="D676"/>
    </row>
    <row r="677" spans="4:4" x14ac:dyDescent="0.25">
      <c r="D677"/>
    </row>
    <row r="678" spans="4:4" x14ac:dyDescent="0.25">
      <c r="D678"/>
    </row>
    <row r="679" spans="4:4" x14ac:dyDescent="0.25">
      <c r="D679"/>
    </row>
    <row r="680" spans="4:4" x14ac:dyDescent="0.25">
      <c r="D680"/>
    </row>
    <row r="681" spans="4:4" x14ac:dyDescent="0.25">
      <c r="D681"/>
    </row>
    <row r="682" spans="4:4" x14ac:dyDescent="0.25">
      <c r="D682"/>
    </row>
    <row r="683" spans="4:4" x14ac:dyDescent="0.25">
      <c r="D683"/>
    </row>
    <row r="684" spans="4:4" x14ac:dyDescent="0.25">
      <c r="D684"/>
    </row>
    <row r="685" spans="4:4" x14ac:dyDescent="0.25">
      <c r="D685"/>
    </row>
    <row r="686" spans="4:4" x14ac:dyDescent="0.25">
      <c r="D686"/>
    </row>
    <row r="687" spans="4:4" x14ac:dyDescent="0.25">
      <c r="D687"/>
    </row>
    <row r="688" spans="4:4" x14ac:dyDescent="0.25">
      <c r="D688"/>
    </row>
    <row r="689" spans="4:4" x14ac:dyDescent="0.25">
      <c r="D689"/>
    </row>
    <row r="690" spans="4:4" x14ac:dyDescent="0.25">
      <c r="D690"/>
    </row>
    <row r="691" spans="4:4" x14ac:dyDescent="0.25">
      <c r="D691"/>
    </row>
    <row r="692" spans="4:4" x14ac:dyDescent="0.25">
      <c r="D692"/>
    </row>
    <row r="693" spans="4:4" x14ac:dyDescent="0.25">
      <c r="D693"/>
    </row>
    <row r="694" spans="4:4" x14ac:dyDescent="0.25">
      <c r="D694"/>
    </row>
    <row r="695" spans="4:4" x14ac:dyDescent="0.25">
      <c r="D695"/>
    </row>
    <row r="696" spans="4:4" x14ac:dyDescent="0.25">
      <c r="D696"/>
    </row>
    <row r="697" spans="4:4" x14ac:dyDescent="0.25">
      <c r="D697"/>
    </row>
    <row r="698" spans="4:4" x14ac:dyDescent="0.25">
      <c r="D698"/>
    </row>
    <row r="699" spans="4:4" x14ac:dyDescent="0.25">
      <c r="D699"/>
    </row>
    <row r="700" spans="4:4" x14ac:dyDescent="0.25">
      <c r="D700"/>
    </row>
    <row r="701" spans="4:4" x14ac:dyDescent="0.25">
      <c r="D701"/>
    </row>
    <row r="702" spans="4:4" x14ac:dyDescent="0.25">
      <c r="D702"/>
    </row>
    <row r="703" spans="4:4" x14ac:dyDescent="0.25">
      <c r="D703"/>
    </row>
    <row r="704" spans="4:4" x14ac:dyDescent="0.25">
      <c r="D704"/>
    </row>
    <row r="705" spans="4:4" x14ac:dyDescent="0.25">
      <c r="D705"/>
    </row>
    <row r="706" spans="4:4" x14ac:dyDescent="0.25">
      <c r="D706"/>
    </row>
    <row r="707" spans="4:4" x14ac:dyDescent="0.25">
      <c r="D707"/>
    </row>
    <row r="708" spans="4:4" x14ac:dyDescent="0.25">
      <c r="D708"/>
    </row>
    <row r="709" spans="4:4" x14ac:dyDescent="0.25">
      <c r="D709"/>
    </row>
    <row r="710" spans="4:4" x14ac:dyDescent="0.25">
      <c r="D710"/>
    </row>
    <row r="711" spans="4:4" x14ac:dyDescent="0.25">
      <c r="D711"/>
    </row>
    <row r="712" spans="4:4" x14ac:dyDescent="0.25">
      <c r="D712"/>
    </row>
    <row r="713" spans="4:4" x14ac:dyDescent="0.25">
      <c r="D713"/>
    </row>
    <row r="714" spans="4:4" x14ac:dyDescent="0.25">
      <c r="D714"/>
    </row>
    <row r="715" spans="4:4" x14ac:dyDescent="0.25">
      <c r="D715"/>
    </row>
    <row r="716" spans="4:4" x14ac:dyDescent="0.25">
      <c r="D716"/>
    </row>
    <row r="717" spans="4:4" x14ac:dyDescent="0.25">
      <c r="D717"/>
    </row>
    <row r="718" spans="4:4" x14ac:dyDescent="0.25">
      <c r="D718"/>
    </row>
    <row r="719" spans="4:4" x14ac:dyDescent="0.25">
      <c r="D719"/>
    </row>
    <row r="720" spans="4:4" x14ac:dyDescent="0.25">
      <c r="D720"/>
    </row>
    <row r="721" spans="4:4" x14ac:dyDescent="0.25">
      <c r="D721"/>
    </row>
    <row r="722" spans="4:4" x14ac:dyDescent="0.25">
      <c r="D722"/>
    </row>
    <row r="723" spans="4:4" x14ac:dyDescent="0.25">
      <c r="D723"/>
    </row>
    <row r="724" spans="4:4" x14ac:dyDescent="0.25">
      <c r="D724"/>
    </row>
    <row r="725" spans="4:4" x14ac:dyDescent="0.25">
      <c r="D725"/>
    </row>
    <row r="726" spans="4:4" x14ac:dyDescent="0.25">
      <c r="D726"/>
    </row>
    <row r="727" spans="4:4" x14ac:dyDescent="0.25">
      <c r="D727"/>
    </row>
    <row r="728" spans="4:4" x14ac:dyDescent="0.25">
      <c r="D728"/>
    </row>
    <row r="729" spans="4:4" x14ac:dyDescent="0.25">
      <c r="D729"/>
    </row>
    <row r="730" spans="4:4" x14ac:dyDescent="0.25">
      <c r="D730"/>
    </row>
    <row r="731" spans="4:4" x14ac:dyDescent="0.25">
      <c r="D731"/>
    </row>
    <row r="732" spans="4:4" x14ac:dyDescent="0.25">
      <c r="D732"/>
    </row>
    <row r="733" spans="4:4" x14ac:dyDescent="0.25">
      <c r="D733"/>
    </row>
    <row r="734" spans="4:4" x14ac:dyDescent="0.25">
      <c r="D734"/>
    </row>
    <row r="735" spans="4:4" x14ac:dyDescent="0.25">
      <c r="D735"/>
    </row>
    <row r="736" spans="4:4" x14ac:dyDescent="0.25">
      <c r="D736"/>
    </row>
    <row r="737" spans="4:4" x14ac:dyDescent="0.25">
      <c r="D737"/>
    </row>
    <row r="738" spans="4:4" x14ac:dyDescent="0.25">
      <c r="D738"/>
    </row>
    <row r="739" spans="4:4" x14ac:dyDescent="0.25">
      <c r="D739"/>
    </row>
    <row r="740" spans="4:4" x14ac:dyDescent="0.25">
      <c r="D740"/>
    </row>
    <row r="741" spans="4:4" x14ac:dyDescent="0.25">
      <c r="D741"/>
    </row>
    <row r="742" spans="4:4" x14ac:dyDescent="0.25">
      <c r="D742"/>
    </row>
    <row r="743" spans="4:4" x14ac:dyDescent="0.25">
      <c r="D743"/>
    </row>
    <row r="744" spans="4:4" x14ac:dyDescent="0.25">
      <c r="D744"/>
    </row>
    <row r="745" spans="4:4" x14ac:dyDescent="0.25">
      <c r="D745"/>
    </row>
    <row r="746" spans="4:4" x14ac:dyDescent="0.25">
      <c r="D746"/>
    </row>
    <row r="747" spans="4:4" x14ac:dyDescent="0.25">
      <c r="D747"/>
    </row>
    <row r="748" spans="4:4" x14ac:dyDescent="0.25">
      <c r="D748"/>
    </row>
    <row r="749" spans="4:4" x14ac:dyDescent="0.25">
      <c r="D749"/>
    </row>
    <row r="750" spans="4:4" x14ac:dyDescent="0.25">
      <c r="D750"/>
    </row>
    <row r="751" spans="4:4" x14ac:dyDescent="0.25">
      <c r="D751"/>
    </row>
    <row r="752" spans="4:4" x14ac:dyDescent="0.25">
      <c r="D752"/>
    </row>
    <row r="753" spans="4:4" x14ac:dyDescent="0.25">
      <c r="D753"/>
    </row>
    <row r="754" spans="4:4" x14ac:dyDescent="0.25">
      <c r="D754"/>
    </row>
    <row r="755" spans="4:4" x14ac:dyDescent="0.25">
      <c r="D755"/>
    </row>
    <row r="756" spans="4:4" x14ac:dyDescent="0.25">
      <c r="D756"/>
    </row>
    <row r="757" spans="4:4" x14ac:dyDescent="0.25">
      <c r="D757"/>
    </row>
    <row r="758" spans="4:4" x14ac:dyDescent="0.25">
      <c r="D758"/>
    </row>
    <row r="759" spans="4:4" x14ac:dyDescent="0.25">
      <c r="D759"/>
    </row>
    <row r="760" spans="4:4" x14ac:dyDescent="0.25">
      <c r="D760"/>
    </row>
    <row r="761" spans="4:4" x14ac:dyDescent="0.25">
      <c r="D761"/>
    </row>
    <row r="762" spans="4:4" x14ac:dyDescent="0.25">
      <c r="D762"/>
    </row>
    <row r="763" spans="4:4" x14ac:dyDescent="0.25">
      <c r="D763"/>
    </row>
    <row r="764" spans="4:4" x14ac:dyDescent="0.25">
      <c r="D764"/>
    </row>
    <row r="765" spans="4:4" x14ac:dyDescent="0.25">
      <c r="D765"/>
    </row>
    <row r="766" spans="4:4" x14ac:dyDescent="0.25">
      <c r="D766"/>
    </row>
    <row r="767" spans="4:4" x14ac:dyDescent="0.25">
      <c r="D767"/>
    </row>
    <row r="768" spans="4:4" x14ac:dyDescent="0.25">
      <c r="D768"/>
    </row>
    <row r="769" spans="4:4" x14ac:dyDescent="0.25">
      <c r="D769"/>
    </row>
    <row r="770" spans="4:4" x14ac:dyDescent="0.25">
      <c r="D770"/>
    </row>
    <row r="771" spans="4:4" x14ac:dyDescent="0.25">
      <c r="D771"/>
    </row>
    <row r="772" spans="4:4" x14ac:dyDescent="0.25">
      <c r="D772"/>
    </row>
    <row r="773" spans="4:4" x14ac:dyDescent="0.25">
      <c r="D773"/>
    </row>
    <row r="774" spans="4:4" x14ac:dyDescent="0.25">
      <c r="D774"/>
    </row>
    <row r="775" spans="4:4" x14ac:dyDescent="0.25">
      <c r="D775"/>
    </row>
    <row r="776" spans="4:4" x14ac:dyDescent="0.25">
      <c r="D776"/>
    </row>
    <row r="777" spans="4:4" x14ac:dyDescent="0.25">
      <c r="D777"/>
    </row>
    <row r="778" spans="4:4" x14ac:dyDescent="0.25">
      <c r="D778"/>
    </row>
    <row r="779" spans="4:4" x14ac:dyDescent="0.25">
      <c r="D779"/>
    </row>
    <row r="780" spans="4:4" x14ac:dyDescent="0.25">
      <c r="D780"/>
    </row>
    <row r="781" spans="4:4" x14ac:dyDescent="0.25">
      <c r="D781"/>
    </row>
    <row r="782" spans="4:4" x14ac:dyDescent="0.25">
      <c r="D782"/>
    </row>
    <row r="783" spans="4:4" x14ac:dyDescent="0.25">
      <c r="D783"/>
    </row>
    <row r="784" spans="4:4" x14ac:dyDescent="0.25">
      <c r="D784"/>
    </row>
    <row r="785" spans="4:4" x14ac:dyDescent="0.25">
      <c r="D785"/>
    </row>
    <row r="786" spans="4:4" x14ac:dyDescent="0.25">
      <c r="D786"/>
    </row>
    <row r="787" spans="4:4" x14ac:dyDescent="0.25">
      <c r="D787"/>
    </row>
    <row r="788" spans="4:4" x14ac:dyDescent="0.25">
      <c r="D788"/>
    </row>
    <row r="789" spans="4:4" x14ac:dyDescent="0.25">
      <c r="D789"/>
    </row>
    <row r="790" spans="4:4" x14ac:dyDescent="0.25">
      <c r="D790" s="42"/>
    </row>
    <row r="1048576" spans="6:6" x14ac:dyDescent="0.25">
      <c r="F1048576">
        <f>SUM(F1:F1048575)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STOCK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2025-11-03T05:01:28Z</dcterms:created>
  <dcterms:modified xsi:type="dcterms:W3CDTF">2025-11-10T16:53:46Z</dcterms:modified>
</cp:coreProperties>
</file>